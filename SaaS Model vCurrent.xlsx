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5F1F302-BCF0-4DA4-9175-EAEA4D2EB1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5" r:id="rId1"/>
    <sheet name="Metrics Dashboard" sheetId="11" r:id="rId2"/>
    <sheet name="Detailed Metrics" sheetId="14" r:id="rId3"/>
    <sheet name="Financials &gt;&gt;&gt;" sheetId="25" r:id="rId4"/>
    <sheet name="Assumptions" sheetId="8" r:id="rId5"/>
    <sheet name="Summary Financials" sheetId="26" r:id="rId6"/>
    <sheet name="Detailed Financials" sheetId="12" r:id="rId7"/>
    <sheet name="Subscribers &amp; Revenue" sheetId="9" r:id="rId8"/>
  </sheets>
  <definedNames>
    <definedName name="Circ">Cover!$G$9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1" l="1"/>
  <c r="E5" i="11"/>
  <c r="K38" i="11"/>
  <c r="J38" i="11"/>
  <c r="I38" i="11"/>
  <c r="H38" i="11"/>
  <c r="G38" i="11"/>
  <c r="H40" i="11"/>
  <c r="I40" i="11"/>
  <c r="J40" i="11"/>
  <c r="K40" i="11"/>
  <c r="G40" i="11"/>
  <c r="Y36" i="11"/>
  <c r="X36" i="11"/>
  <c r="W36" i="11"/>
  <c r="V36" i="11"/>
  <c r="U36" i="11"/>
  <c r="R36" i="11"/>
  <c r="Q36" i="11"/>
  <c r="P36" i="11"/>
  <c r="O36" i="11"/>
  <c r="N36" i="11"/>
  <c r="H36" i="11"/>
  <c r="I36" i="11"/>
  <c r="J36" i="11"/>
  <c r="K36" i="11"/>
  <c r="G36" i="11"/>
  <c r="V34" i="11"/>
  <c r="W34" i="11"/>
  <c r="X34" i="11"/>
  <c r="Y34" i="11"/>
  <c r="U34" i="11"/>
  <c r="O34" i="11"/>
  <c r="P34" i="11"/>
  <c r="Q34" i="11"/>
  <c r="R34" i="11"/>
  <c r="N34" i="11"/>
  <c r="H34" i="11"/>
  <c r="I34" i="11"/>
  <c r="J34" i="11"/>
  <c r="K34" i="11"/>
  <c r="G34" i="11"/>
  <c r="V32" i="11"/>
  <c r="W32" i="11"/>
  <c r="X32" i="11"/>
  <c r="Y32" i="11"/>
  <c r="U32" i="11"/>
  <c r="O32" i="11"/>
  <c r="P32" i="11"/>
  <c r="Q32" i="11"/>
  <c r="R32" i="11"/>
  <c r="N32" i="11"/>
  <c r="H32" i="11"/>
  <c r="I32" i="11"/>
  <c r="J32" i="11"/>
  <c r="K32" i="11"/>
  <c r="G32" i="11"/>
  <c r="V30" i="11"/>
  <c r="W30" i="11"/>
  <c r="X30" i="11"/>
  <c r="Y30" i="11"/>
  <c r="U30" i="11"/>
  <c r="O30" i="11"/>
  <c r="P30" i="11"/>
  <c r="Q30" i="11"/>
  <c r="R30" i="11"/>
  <c r="N30" i="11"/>
  <c r="H30" i="11"/>
  <c r="I30" i="11"/>
  <c r="J30" i="11"/>
  <c r="K30" i="11"/>
  <c r="G30" i="11"/>
  <c r="V28" i="11"/>
  <c r="W28" i="11"/>
  <c r="X28" i="11"/>
  <c r="Y28" i="11"/>
  <c r="U28" i="11"/>
  <c r="O28" i="11"/>
  <c r="P28" i="11"/>
  <c r="Q28" i="11"/>
  <c r="R28" i="11"/>
  <c r="N28" i="11"/>
  <c r="H28" i="11"/>
  <c r="I28" i="11"/>
  <c r="J28" i="11"/>
  <c r="K28" i="11"/>
  <c r="G28" i="11"/>
  <c r="V26" i="11"/>
  <c r="W26" i="11"/>
  <c r="X26" i="11"/>
  <c r="Y26" i="11"/>
  <c r="O26" i="11"/>
  <c r="P26" i="11"/>
  <c r="Q26" i="11"/>
  <c r="R26" i="11"/>
  <c r="U26" i="11"/>
  <c r="N26" i="11"/>
  <c r="H24" i="11"/>
  <c r="I24" i="11"/>
  <c r="J24" i="11"/>
  <c r="K24" i="11"/>
  <c r="G24" i="11"/>
  <c r="U24" i="11"/>
  <c r="N24" i="11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AX85" i="14"/>
  <c r="AY85" i="14"/>
  <c r="AZ85" i="14"/>
  <c r="BA85" i="14"/>
  <c r="BB85" i="14"/>
  <c r="BC85" i="14"/>
  <c r="BD85" i="14"/>
  <c r="BE85" i="14"/>
  <c r="BF85" i="14"/>
  <c r="BG85" i="14"/>
  <c r="BH85" i="14"/>
  <c r="BI85" i="14"/>
  <c r="BJ85" i="14"/>
  <c r="BK85" i="14"/>
  <c r="BL85" i="14"/>
  <c r="BM85" i="14"/>
  <c r="BN85" i="14"/>
  <c r="G85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AV83" i="14"/>
  <c r="AW83" i="14"/>
  <c r="AX83" i="14"/>
  <c r="AY83" i="14"/>
  <c r="AZ83" i="14"/>
  <c r="BA83" i="14"/>
  <c r="BB83" i="14"/>
  <c r="BC83" i="14"/>
  <c r="BD83" i="14"/>
  <c r="BE83" i="14"/>
  <c r="BF83" i="14"/>
  <c r="BG83" i="14"/>
  <c r="BH83" i="14"/>
  <c r="BI83" i="14"/>
  <c r="BJ83" i="14"/>
  <c r="BK83" i="14"/>
  <c r="BL83" i="14"/>
  <c r="BM83" i="14"/>
  <c r="BN83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AV84" i="14"/>
  <c r="AW84" i="14"/>
  <c r="AX84" i="14"/>
  <c r="AY84" i="14"/>
  <c r="AZ84" i="14"/>
  <c r="BA84" i="14"/>
  <c r="BB84" i="14"/>
  <c r="BC84" i="14"/>
  <c r="BD84" i="14"/>
  <c r="BE84" i="14"/>
  <c r="BF84" i="14"/>
  <c r="BG84" i="14"/>
  <c r="BH84" i="14"/>
  <c r="BI84" i="14"/>
  <c r="BJ84" i="14"/>
  <c r="BK84" i="14"/>
  <c r="BL84" i="14"/>
  <c r="BM84" i="14"/>
  <c r="BN84" i="14"/>
  <c r="G84" i="14"/>
  <c r="G83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AX77" i="14"/>
  <c r="AY77" i="14"/>
  <c r="AZ77" i="14"/>
  <c r="BA77" i="14"/>
  <c r="BB77" i="14"/>
  <c r="BC77" i="14"/>
  <c r="BD77" i="14"/>
  <c r="BE77" i="14"/>
  <c r="BF77" i="14"/>
  <c r="BG77" i="14"/>
  <c r="BH77" i="14"/>
  <c r="BI77" i="14"/>
  <c r="BJ77" i="14"/>
  <c r="BK77" i="14"/>
  <c r="BL77" i="14"/>
  <c r="BM77" i="14"/>
  <c r="BN77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AX78" i="14"/>
  <c r="AY78" i="14"/>
  <c r="AZ78" i="14"/>
  <c r="BA78" i="14"/>
  <c r="BB78" i="14"/>
  <c r="BC78" i="14"/>
  <c r="BD78" i="14"/>
  <c r="BE78" i="14"/>
  <c r="BF78" i="14"/>
  <c r="BG78" i="14"/>
  <c r="BH78" i="14"/>
  <c r="BI78" i="14"/>
  <c r="BJ78" i="14"/>
  <c r="BK78" i="14"/>
  <c r="BL78" i="14"/>
  <c r="BM78" i="14"/>
  <c r="BN78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AY79" i="14"/>
  <c r="AZ79" i="14"/>
  <c r="BA79" i="14"/>
  <c r="BB79" i="14"/>
  <c r="BC79" i="14"/>
  <c r="BD79" i="14"/>
  <c r="BE79" i="14"/>
  <c r="BF79" i="14"/>
  <c r="BG79" i="14"/>
  <c r="BH79" i="14"/>
  <c r="BI79" i="14"/>
  <c r="BJ79" i="14"/>
  <c r="BK79" i="14"/>
  <c r="BL79" i="14"/>
  <c r="BM79" i="14"/>
  <c r="BN7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AX69" i="14"/>
  <c r="AY69" i="14"/>
  <c r="AZ69" i="14"/>
  <c r="BA69" i="14"/>
  <c r="BB69" i="14"/>
  <c r="BC69" i="14"/>
  <c r="BD69" i="14"/>
  <c r="BE69" i="14"/>
  <c r="BF69" i="14"/>
  <c r="BG69" i="14"/>
  <c r="BH69" i="14"/>
  <c r="BI69" i="14"/>
  <c r="BJ69" i="14"/>
  <c r="BK69" i="14"/>
  <c r="BL69" i="14"/>
  <c r="BM69" i="14"/>
  <c r="BN69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AX70" i="14"/>
  <c r="AY70" i="14"/>
  <c r="AZ70" i="14"/>
  <c r="BA70" i="14"/>
  <c r="BB70" i="14"/>
  <c r="BC70" i="14"/>
  <c r="BD70" i="14"/>
  <c r="BE70" i="14"/>
  <c r="BF70" i="14"/>
  <c r="BG70" i="14"/>
  <c r="BH70" i="14"/>
  <c r="BI70" i="14"/>
  <c r="BJ70" i="14"/>
  <c r="BK70" i="14"/>
  <c r="BL70" i="14"/>
  <c r="BM70" i="14"/>
  <c r="BN70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AX71" i="14"/>
  <c r="AY71" i="14"/>
  <c r="AZ71" i="14"/>
  <c r="BA71" i="14"/>
  <c r="BB71" i="14"/>
  <c r="BC71" i="14"/>
  <c r="BD71" i="14"/>
  <c r="BE71" i="14"/>
  <c r="BF71" i="14"/>
  <c r="BG71" i="14"/>
  <c r="BH71" i="14"/>
  <c r="BI71" i="14"/>
  <c r="BJ71" i="14"/>
  <c r="BK71" i="14"/>
  <c r="BL71" i="14"/>
  <c r="BM71" i="14"/>
  <c r="BN71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AY73" i="14"/>
  <c r="AZ73" i="14"/>
  <c r="BA73" i="14"/>
  <c r="BB73" i="14"/>
  <c r="BC73" i="14"/>
  <c r="BD73" i="14"/>
  <c r="BE73" i="14"/>
  <c r="BF73" i="14"/>
  <c r="BG73" i="14"/>
  <c r="BH73" i="14"/>
  <c r="BI73" i="14"/>
  <c r="BJ73" i="14"/>
  <c r="BK73" i="14"/>
  <c r="BL73" i="14"/>
  <c r="BM73" i="14"/>
  <c r="BN73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AX74" i="14"/>
  <c r="AY74" i="14"/>
  <c r="AZ74" i="14"/>
  <c r="BA74" i="14"/>
  <c r="BB74" i="14"/>
  <c r="BC74" i="14"/>
  <c r="BD74" i="14"/>
  <c r="BE74" i="14"/>
  <c r="BF74" i="14"/>
  <c r="BG74" i="14"/>
  <c r="BH74" i="14"/>
  <c r="BI74" i="14"/>
  <c r="BJ74" i="14"/>
  <c r="BK74" i="14"/>
  <c r="BL74" i="14"/>
  <c r="BM74" i="14"/>
  <c r="BN74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AY75" i="14"/>
  <c r="AZ75" i="14"/>
  <c r="BA75" i="14"/>
  <c r="BB75" i="14"/>
  <c r="BC75" i="14"/>
  <c r="BD75" i="14"/>
  <c r="BE75" i="14"/>
  <c r="BF75" i="14"/>
  <c r="BG75" i="14"/>
  <c r="BH75" i="14"/>
  <c r="BI75" i="14"/>
  <c r="BJ75" i="14"/>
  <c r="BK75" i="14"/>
  <c r="BL75" i="14"/>
  <c r="BM75" i="14"/>
  <c r="BN75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H39" i="14" s="1"/>
  <c r="AI37" i="14"/>
  <c r="AJ37" i="14"/>
  <c r="AK37" i="14"/>
  <c r="AL37" i="14"/>
  <c r="AL39" i="14" s="1"/>
  <c r="AM37" i="14"/>
  <c r="AN37" i="14"/>
  <c r="AO37" i="14"/>
  <c r="AP37" i="14"/>
  <c r="AP39" i="14" s="1"/>
  <c r="AQ37" i="14"/>
  <c r="AR37" i="14"/>
  <c r="AS37" i="14"/>
  <c r="AS39" i="14" s="1"/>
  <c r="AT37" i="14"/>
  <c r="AT39" i="14" s="1"/>
  <c r="AU37" i="14"/>
  <c r="AV37" i="14"/>
  <c r="AW37" i="14"/>
  <c r="AW39" i="14" s="1"/>
  <c r="AX37" i="14"/>
  <c r="AX39" i="14" s="1"/>
  <c r="AY37" i="14"/>
  <c r="AZ37" i="14"/>
  <c r="BA37" i="14"/>
  <c r="BA39" i="14" s="1"/>
  <c r="BB37" i="14"/>
  <c r="BB39" i="14" s="1"/>
  <c r="BC37" i="14"/>
  <c r="BD37" i="14"/>
  <c r="BE37" i="14"/>
  <c r="BE39" i="14" s="1"/>
  <c r="BF37" i="14"/>
  <c r="BF39" i="14" s="1"/>
  <c r="BG37" i="14"/>
  <c r="BH37" i="14"/>
  <c r="BI37" i="14"/>
  <c r="BI39" i="14" s="1"/>
  <c r="BJ37" i="14"/>
  <c r="BJ39" i="14" s="1"/>
  <c r="BK37" i="14"/>
  <c r="BL37" i="14"/>
  <c r="BM37" i="14"/>
  <c r="BM39" i="14" s="1"/>
  <c r="BN37" i="14"/>
  <c r="BN39" i="14" s="1"/>
  <c r="H38" i="14"/>
  <c r="H39" i="14" s="1"/>
  <c r="I38" i="14"/>
  <c r="J38" i="14"/>
  <c r="K38" i="14"/>
  <c r="L38" i="14"/>
  <c r="L39" i="14" s="1"/>
  <c r="M38" i="14"/>
  <c r="N38" i="14"/>
  <c r="O38" i="14"/>
  <c r="P38" i="14"/>
  <c r="P39" i="14" s="1"/>
  <c r="Q38" i="14"/>
  <c r="R38" i="14"/>
  <c r="S38" i="14"/>
  <c r="T38" i="14"/>
  <c r="T39" i="14" s="1"/>
  <c r="U38" i="14"/>
  <c r="V38" i="14"/>
  <c r="W38" i="14"/>
  <c r="X38" i="14"/>
  <c r="X39" i="14" s="1"/>
  <c r="Y38" i="14"/>
  <c r="Z38" i="14"/>
  <c r="AA38" i="14"/>
  <c r="AB38" i="14"/>
  <c r="AB39" i="14" s="1"/>
  <c r="AC38" i="14"/>
  <c r="AD38" i="14"/>
  <c r="AE38" i="14"/>
  <c r="AF38" i="14"/>
  <c r="AF39" i="14" s="1"/>
  <c r="AG38" i="14"/>
  <c r="AH38" i="14"/>
  <c r="AI38" i="14"/>
  <c r="AJ38" i="14"/>
  <c r="AJ39" i="14" s="1"/>
  <c r="AK38" i="14"/>
  <c r="AL38" i="14"/>
  <c r="AM38" i="14"/>
  <c r="AN38" i="14"/>
  <c r="AN39" i="14" s="1"/>
  <c r="AO38" i="14"/>
  <c r="AP38" i="14"/>
  <c r="AQ38" i="14"/>
  <c r="AR38" i="14"/>
  <c r="AR39" i="14" s="1"/>
  <c r="AS38" i="14"/>
  <c r="AT38" i="14"/>
  <c r="AU38" i="14"/>
  <c r="AV38" i="14"/>
  <c r="AV39" i="14" s="1"/>
  <c r="AW38" i="14"/>
  <c r="AX38" i="14"/>
  <c r="AY38" i="14"/>
  <c r="AZ38" i="14"/>
  <c r="AZ39" i="14" s="1"/>
  <c r="BA38" i="14"/>
  <c r="BB38" i="14"/>
  <c r="BC38" i="14"/>
  <c r="BD38" i="14"/>
  <c r="BD39" i="14" s="1"/>
  <c r="BE38" i="14"/>
  <c r="BF38" i="14"/>
  <c r="BG38" i="14"/>
  <c r="BH38" i="14"/>
  <c r="BH39" i="14" s="1"/>
  <c r="BI38" i="14"/>
  <c r="BJ38" i="14"/>
  <c r="BK38" i="14"/>
  <c r="BL38" i="14"/>
  <c r="BL39" i="14" s="1"/>
  <c r="BM38" i="14"/>
  <c r="BN38" i="14"/>
  <c r="I39" i="14"/>
  <c r="M39" i="14"/>
  <c r="G38" i="14"/>
  <c r="G37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BN41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G42" i="14"/>
  <c r="G41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AY45" i="14"/>
  <c r="AZ45" i="14"/>
  <c r="BA45" i="14"/>
  <c r="BB45" i="14"/>
  <c r="BC45" i="14"/>
  <c r="BD45" i="14"/>
  <c r="BE45" i="14"/>
  <c r="BF45" i="14"/>
  <c r="BG45" i="14"/>
  <c r="BH45" i="14"/>
  <c r="BI45" i="14"/>
  <c r="BJ45" i="14"/>
  <c r="BK45" i="14"/>
  <c r="BL45" i="14"/>
  <c r="BM45" i="14"/>
  <c r="BN45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BN46" i="14"/>
  <c r="G46" i="14"/>
  <c r="G45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AE33" i="14"/>
  <c r="AE35" i="14" s="1"/>
  <c r="AF33" i="14"/>
  <c r="AG33" i="14"/>
  <c r="AH33" i="14"/>
  <c r="AI33" i="14"/>
  <c r="AI35" i="14" s="1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U35" i="14" s="1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K35" i="14" s="1"/>
  <c r="BL33" i="14"/>
  <c r="BM33" i="14"/>
  <c r="BN33" i="14"/>
  <c r="BG35" i="14"/>
  <c r="AE11" i="14"/>
  <c r="AF11" i="14"/>
  <c r="AG11" i="14"/>
  <c r="AG20" i="14" s="1"/>
  <c r="AH11" i="14"/>
  <c r="AI11" i="14"/>
  <c r="AI20" i="14" s="1"/>
  <c r="AJ11" i="14"/>
  <c r="AK11" i="14"/>
  <c r="AK20" i="14" s="1"/>
  <c r="AL11" i="14"/>
  <c r="AM11" i="14"/>
  <c r="AN11" i="14"/>
  <c r="AN20" i="14" s="1"/>
  <c r="AO11" i="14"/>
  <c r="AO20" i="14" s="1"/>
  <c r="AP11" i="14"/>
  <c r="AQ11" i="14"/>
  <c r="AR11" i="14"/>
  <c r="AS11" i="14"/>
  <c r="AS20" i="14" s="1"/>
  <c r="AT11" i="14"/>
  <c r="AU11" i="14"/>
  <c r="AV11" i="14"/>
  <c r="AW11" i="14"/>
  <c r="AW20" i="14" s="1"/>
  <c r="AX11" i="14"/>
  <c r="AY11" i="14"/>
  <c r="AY20" i="14" s="1"/>
  <c r="AZ11" i="14"/>
  <c r="BA11" i="14"/>
  <c r="BA20" i="14" s="1"/>
  <c r="BB11" i="14"/>
  <c r="BC11" i="14"/>
  <c r="BD11" i="14"/>
  <c r="BD20" i="14" s="1"/>
  <c r="BE11" i="14"/>
  <c r="BE20" i="14" s="1"/>
  <c r="BF11" i="14"/>
  <c r="BG11" i="14"/>
  <c r="BG20" i="14" s="1"/>
  <c r="BH11" i="14"/>
  <c r="BI11" i="14"/>
  <c r="BI20" i="14" s="1"/>
  <c r="BJ11" i="14"/>
  <c r="BK11" i="14"/>
  <c r="BL11" i="14"/>
  <c r="BM11" i="14"/>
  <c r="BM20" i="14" s="1"/>
  <c r="BN11" i="14"/>
  <c r="AE14" i="14"/>
  <c r="AF14" i="14"/>
  <c r="AF23" i="14" s="1"/>
  <c r="AG14" i="14"/>
  <c r="AH14" i="14"/>
  <c r="AI14" i="14"/>
  <c r="AI17" i="14" s="1"/>
  <c r="AJ14" i="14"/>
  <c r="AJ23" i="14" s="1"/>
  <c r="AK14" i="14"/>
  <c r="AK23" i="14" s="1"/>
  <c r="AL14" i="14"/>
  <c r="AM14" i="14"/>
  <c r="AN14" i="14"/>
  <c r="AN23" i="14" s="1"/>
  <c r="AO14" i="14"/>
  <c r="AP14" i="14"/>
  <c r="AQ14" i="14"/>
  <c r="AR14" i="14"/>
  <c r="AR23" i="14" s="1"/>
  <c r="AS14" i="14"/>
  <c r="AS23" i="14" s="1"/>
  <c r="AT14" i="14"/>
  <c r="AU14" i="14"/>
  <c r="AU17" i="14" s="1"/>
  <c r="AV14" i="14"/>
  <c r="AV23" i="14" s="1"/>
  <c r="AW14" i="14"/>
  <c r="AX14" i="14"/>
  <c r="AY14" i="14"/>
  <c r="AZ14" i="14"/>
  <c r="AZ23" i="14" s="1"/>
  <c r="BA14" i="14"/>
  <c r="BB14" i="14"/>
  <c r="BC14" i="14"/>
  <c r="BD14" i="14"/>
  <c r="BD23" i="14" s="1"/>
  <c r="BE14" i="14"/>
  <c r="BF14" i="14"/>
  <c r="BG14" i="14"/>
  <c r="BH14" i="14"/>
  <c r="BH23" i="14" s="1"/>
  <c r="BI14" i="14"/>
  <c r="BI23" i="14" s="1"/>
  <c r="BJ14" i="14"/>
  <c r="BK14" i="14"/>
  <c r="BL14" i="14"/>
  <c r="BL23" i="14" s="1"/>
  <c r="BM14" i="14"/>
  <c r="BN14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AV89" i="14"/>
  <c r="AW89" i="14"/>
  <c r="AX89" i="14"/>
  <c r="AY89" i="14"/>
  <c r="AZ89" i="14"/>
  <c r="BA89" i="14"/>
  <c r="BB89" i="14"/>
  <c r="BC89" i="14"/>
  <c r="BD89" i="14"/>
  <c r="BE89" i="14"/>
  <c r="BF89" i="14"/>
  <c r="BG89" i="14"/>
  <c r="BH89" i="14"/>
  <c r="BI89" i="14"/>
  <c r="BJ89" i="14"/>
  <c r="BK89" i="14"/>
  <c r="BL89" i="14"/>
  <c r="BM89" i="14"/>
  <c r="BN89" i="14"/>
  <c r="AE7" i="26"/>
  <c r="AE6" i="26" s="1"/>
  <c r="AF7" i="26"/>
  <c r="AE48" i="26"/>
  <c r="AF48" i="26"/>
  <c r="AG48" i="26"/>
  <c r="AH48" i="26"/>
  <c r="AI48" i="26"/>
  <c r="AJ48" i="26"/>
  <c r="AK48" i="26"/>
  <c r="AL48" i="26"/>
  <c r="AM48" i="26"/>
  <c r="AN48" i="26"/>
  <c r="AO48" i="26"/>
  <c r="AP48" i="26"/>
  <c r="AQ48" i="26"/>
  <c r="AR48" i="26"/>
  <c r="AS48" i="26"/>
  <c r="AT48" i="26"/>
  <c r="AU48" i="26"/>
  <c r="AV48" i="26"/>
  <c r="AW48" i="26"/>
  <c r="AX48" i="26"/>
  <c r="AY48" i="26"/>
  <c r="AZ48" i="26"/>
  <c r="BA48" i="26"/>
  <c r="BB48" i="26"/>
  <c r="BC48" i="26"/>
  <c r="BD48" i="26"/>
  <c r="BE48" i="26"/>
  <c r="BF48" i="26"/>
  <c r="BG48" i="26"/>
  <c r="BH48" i="26"/>
  <c r="BI48" i="26"/>
  <c r="BJ48" i="26"/>
  <c r="BK48" i="26"/>
  <c r="BL48" i="26"/>
  <c r="BM48" i="26"/>
  <c r="BN48" i="26"/>
  <c r="AE90" i="26"/>
  <c r="AE109" i="26" s="1"/>
  <c r="AF90" i="26"/>
  <c r="AG90" i="26"/>
  <c r="AH90" i="26"/>
  <c r="AH109" i="26" s="1"/>
  <c r="AI90" i="26"/>
  <c r="AI109" i="26" s="1"/>
  <c r="AJ90" i="26"/>
  <c r="AK90" i="26"/>
  <c r="AL90" i="26"/>
  <c r="AL109" i="26" s="1"/>
  <c r="AM90" i="26"/>
  <c r="AM109" i="26" s="1"/>
  <c r="AN90" i="26"/>
  <c r="AO90" i="26"/>
  <c r="AP90" i="26"/>
  <c r="AP109" i="26" s="1"/>
  <c r="AQ90" i="26"/>
  <c r="AQ109" i="26" s="1"/>
  <c r="AR90" i="26"/>
  <c r="AS90" i="26"/>
  <c r="AT90" i="26"/>
  <c r="AT109" i="26" s="1"/>
  <c r="AU90" i="26"/>
  <c r="AU109" i="26" s="1"/>
  <c r="AV90" i="26"/>
  <c r="AW90" i="26"/>
  <c r="AX90" i="26"/>
  <c r="AX109" i="26" s="1"/>
  <c r="AY90" i="26"/>
  <c r="AY109" i="26" s="1"/>
  <c r="AZ90" i="26"/>
  <c r="BA90" i="26"/>
  <c r="BB90" i="26"/>
  <c r="BB109" i="26" s="1"/>
  <c r="BC90" i="26"/>
  <c r="BC109" i="26" s="1"/>
  <c r="BD90" i="26"/>
  <c r="BE90" i="26"/>
  <c r="BF90" i="26"/>
  <c r="BF109" i="26" s="1"/>
  <c r="BG90" i="26"/>
  <c r="BG109" i="26" s="1"/>
  <c r="BH90" i="26"/>
  <c r="BI90" i="26"/>
  <c r="BJ90" i="26"/>
  <c r="BJ109" i="26" s="1"/>
  <c r="BK90" i="26"/>
  <c r="BK109" i="26" s="1"/>
  <c r="BL90" i="26"/>
  <c r="BM90" i="26"/>
  <c r="BN90" i="26"/>
  <c r="BN109" i="26" s="1"/>
  <c r="AF109" i="26"/>
  <c r="AG109" i="26"/>
  <c r="AJ109" i="26"/>
  <c r="AK109" i="26"/>
  <c r="AN109" i="26"/>
  <c r="AO109" i="26"/>
  <c r="AR109" i="26"/>
  <c r="AS109" i="26"/>
  <c r="AV109" i="26"/>
  <c r="AW109" i="26"/>
  <c r="AZ109" i="26"/>
  <c r="BA109" i="26"/>
  <c r="BD109" i="26"/>
  <c r="BE109" i="26"/>
  <c r="BH109" i="26"/>
  <c r="BI109" i="26"/>
  <c r="BL109" i="26"/>
  <c r="BM109" i="26"/>
  <c r="F92" i="12"/>
  <c r="F88" i="12"/>
  <c r="E92" i="12"/>
  <c r="G92" i="12" s="1"/>
  <c r="C91" i="12"/>
  <c r="G56" i="12"/>
  <c r="E88" i="12"/>
  <c r="G88" i="12" s="1"/>
  <c r="C87" i="12"/>
  <c r="E83" i="12"/>
  <c r="H83" i="12" s="1"/>
  <c r="E69" i="12"/>
  <c r="AO39" i="14" l="1"/>
  <c r="AD39" i="14"/>
  <c r="AK39" i="14"/>
  <c r="Z39" i="14"/>
  <c r="V39" i="14"/>
  <c r="AG39" i="14"/>
  <c r="R39" i="14"/>
  <c r="N39" i="14"/>
  <c r="J39" i="14"/>
  <c r="AC39" i="14"/>
  <c r="BA17" i="14"/>
  <c r="Y39" i="14"/>
  <c r="BK39" i="14"/>
  <c r="BG39" i="14"/>
  <c r="BC39" i="14"/>
  <c r="AY39" i="14"/>
  <c r="AU39" i="14"/>
  <c r="AQ39" i="14"/>
  <c r="AM39" i="14"/>
  <c r="AI39" i="14"/>
  <c r="AE39" i="14"/>
  <c r="AA39" i="14"/>
  <c r="W39" i="14"/>
  <c r="S39" i="14"/>
  <c r="O39" i="14"/>
  <c r="K39" i="14"/>
  <c r="U39" i="14"/>
  <c r="G39" i="14"/>
  <c r="Q39" i="14"/>
  <c r="AI34" i="14"/>
  <c r="BK51" i="14"/>
  <c r="BK63" i="14" s="1"/>
  <c r="BC51" i="14"/>
  <c r="BC63" i="14" s="1"/>
  <c r="AU51" i="14"/>
  <c r="AU63" i="14" s="1"/>
  <c r="AQ51" i="14"/>
  <c r="AQ63" i="14" s="1"/>
  <c r="AM51" i="14"/>
  <c r="AM63" i="14" s="1"/>
  <c r="AE51" i="14"/>
  <c r="AE63" i="14" s="1"/>
  <c r="BL32" i="14"/>
  <c r="BH32" i="14"/>
  <c r="AV32" i="14"/>
  <c r="AJ32" i="14"/>
  <c r="AF32" i="14"/>
  <c r="BM47" i="14"/>
  <c r="BM43" i="14" s="1"/>
  <c r="BI47" i="14"/>
  <c r="BI43" i="14" s="1"/>
  <c r="AT52" i="14"/>
  <c r="AT64" i="14" s="1"/>
  <c r="AL52" i="14"/>
  <c r="AL64" i="14" s="1"/>
  <c r="BG34" i="14"/>
  <c r="BC34" i="14"/>
  <c r="AY34" i="14"/>
  <c r="AQ34" i="14"/>
  <c r="AM34" i="14"/>
  <c r="AW34" i="14"/>
  <c r="BM35" i="14"/>
  <c r="BE32" i="14"/>
  <c r="BN47" i="14"/>
  <c r="BN43" i="14" s="1"/>
  <c r="BF47" i="14"/>
  <c r="BF43" i="14" s="1"/>
  <c r="BN35" i="14"/>
  <c r="BJ35" i="14"/>
  <c r="BF35" i="14"/>
  <c r="BB35" i="14"/>
  <c r="AX35" i="14"/>
  <c r="AT35" i="14"/>
  <c r="AQ32" i="14"/>
  <c r="AL35" i="14"/>
  <c r="BN51" i="14"/>
  <c r="BN63" i="14" s="1"/>
  <c r="BF51" i="14"/>
  <c r="BF63" i="14" s="1"/>
  <c r="BB51" i="14"/>
  <c r="BB63" i="14" s="1"/>
  <c r="AX51" i="14"/>
  <c r="AX63" i="14" s="1"/>
  <c r="AH51" i="14"/>
  <c r="AH63" i="14" s="1"/>
  <c r="BL51" i="14"/>
  <c r="BL63" i="14" s="1"/>
  <c r="BH12" i="14"/>
  <c r="AZ51" i="14"/>
  <c r="AZ63" i="14" s="1"/>
  <c r="AV51" i="14"/>
  <c r="AV63" i="14" s="1"/>
  <c r="AR51" i="14"/>
  <c r="AR63" i="14" s="1"/>
  <c r="AY35" i="14"/>
  <c r="AO32" i="14"/>
  <c r="AQ35" i="14"/>
  <c r="BG52" i="14"/>
  <c r="BG64" i="14" s="1"/>
  <c r="AH35" i="14"/>
  <c r="AX47" i="14"/>
  <c r="AX43" i="14" s="1"/>
  <c r="AM32" i="14"/>
  <c r="BG32" i="14"/>
  <c r="AU53" i="14"/>
  <c r="AV34" i="14"/>
  <c r="BK34" i="14"/>
  <c r="AU34" i="14"/>
  <c r="AU32" i="14"/>
  <c r="AX32" i="14"/>
  <c r="AH32" i="14"/>
  <c r="AY52" i="14"/>
  <c r="AY64" i="14" s="1"/>
  <c r="AP35" i="14"/>
  <c r="BD34" i="14"/>
  <c r="AQ52" i="14"/>
  <c r="AQ64" i="14" s="1"/>
  <c r="BC35" i="14"/>
  <c r="AM35" i="14"/>
  <c r="AG35" i="14"/>
  <c r="BJ34" i="14"/>
  <c r="AX34" i="14"/>
  <c r="AS35" i="14"/>
  <c r="AH34" i="14"/>
  <c r="BK32" i="14"/>
  <c r="BC32" i="14"/>
  <c r="AG32" i="14"/>
  <c r="BK52" i="14"/>
  <c r="BK64" i="14" s="1"/>
  <c r="BC52" i="14"/>
  <c r="BC64" i="14" s="1"/>
  <c r="AM52" i="14"/>
  <c r="AM64" i="14" s="1"/>
  <c r="AI53" i="14"/>
  <c r="AE52" i="14"/>
  <c r="AE64" i="14" s="1"/>
  <c r="AI52" i="14"/>
  <c r="AI64" i="14" s="1"/>
  <c r="BL34" i="14"/>
  <c r="BH34" i="14"/>
  <c r="AZ34" i="14"/>
  <c r="AR34" i="14"/>
  <c r="AN34" i="14"/>
  <c r="AJ34" i="14"/>
  <c r="AF34" i="14"/>
  <c r="AW32" i="14"/>
  <c r="AY32" i="14"/>
  <c r="AI32" i="14"/>
  <c r="AF20" i="14"/>
  <c r="AF26" i="14" s="1"/>
  <c r="AF51" i="14"/>
  <c r="AF63" i="14" s="1"/>
  <c r="BN34" i="14"/>
  <c r="BM34" i="14"/>
  <c r="BL52" i="14"/>
  <c r="BL64" i="14" s="1"/>
  <c r="AV52" i="14"/>
  <c r="AV64" i="14" s="1"/>
  <c r="AF52" i="14"/>
  <c r="AF64" i="14" s="1"/>
  <c r="BN23" i="14"/>
  <c r="BN52" i="14"/>
  <c r="BN64" i="14" s="1"/>
  <c r="BJ23" i="14"/>
  <c r="BJ24" i="14" s="1"/>
  <c r="BJ52" i="14"/>
  <c r="BJ64" i="14" s="1"/>
  <c r="BF23" i="14"/>
  <c r="BF52" i="14"/>
  <c r="BF64" i="14" s="1"/>
  <c r="BB23" i="14"/>
  <c r="BB52" i="14"/>
  <c r="BB64" i="14" s="1"/>
  <c r="AX17" i="14"/>
  <c r="AX52" i="14"/>
  <c r="AX64" i="14" s="1"/>
  <c r="AP23" i="14"/>
  <c r="AP52" i="14"/>
  <c r="AP64" i="14" s="1"/>
  <c r="AH23" i="14"/>
  <c r="AH52" i="14"/>
  <c r="AH64" i="14" s="1"/>
  <c r="BJ20" i="14"/>
  <c r="BJ21" i="14" s="1"/>
  <c r="BJ51" i="14"/>
  <c r="BJ63" i="14" s="1"/>
  <c r="AT20" i="14"/>
  <c r="AT21" i="14" s="1"/>
  <c r="AT51" i="14"/>
  <c r="AT63" i="14" s="1"/>
  <c r="AQ12" i="14"/>
  <c r="AP51" i="14"/>
  <c r="AP63" i="14" s="1"/>
  <c r="AL20" i="14"/>
  <c r="AL21" i="14" s="1"/>
  <c r="AL51" i="14"/>
  <c r="AL63" i="14" s="1"/>
  <c r="AU52" i="14"/>
  <c r="AU64" i="14" s="1"/>
  <c r="BG51" i="14"/>
  <c r="BG63" i="14" s="1"/>
  <c r="AY51" i="14"/>
  <c r="AY63" i="14" s="1"/>
  <c r="AW35" i="14"/>
  <c r="AG34" i="14"/>
  <c r="AJ20" i="14"/>
  <c r="AJ26" i="14" s="1"/>
  <c r="AJ51" i="14"/>
  <c r="AJ63" i="14" s="1"/>
  <c r="BF34" i="14"/>
  <c r="BE34" i="14"/>
  <c r="BB34" i="14"/>
  <c r="BA34" i="14"/>
  <c r="AT34" i="14"/>
  <c r="AS34" i="14"/>
  <c r="AP34" i="14"/>
  <c r="AO34" i="14"/>
  <c r="AL34" i="14"/>
  <c r="AK34" i="14"/>
  <c r="BD52" i="14"/>
  <c r="BD64" i="14" s="1"/>
  <c r="AN52" i="14"/>
  <c r="AN64" i="14" s="1"/>
  <c r="BH51" i="14"/>
  <c r="BH63" i="14" s="1"/>
  <c r="AI51" i="14"/>
  <c r="AI63" i="14" s="1"/>
  <c r="BE52" i="14"/>
  <c r="BE64" i="14" s="1"/>
  <c r="AW52" i="14"/>
  <c r="AW64" i="14" s="1"/>
  <c r="AO52" i="14"/>
  <c r="AO64" i="14" s="1"/>
  <c r="AG52" i="14"/>
  <c r="AG64" i="14" s="1"/>
  <c r="BH52" i="14"/>
  <c r="BH64" i="14" s="1"/>
  <c r="AZ52" i="14"/>
  <c r="AZ64" i="14" s="1"/>
  <c r="AR52" i="14"/>
  <c r="AR64" i="14" s="1"/>
  <c r="AJ52" i="14"/>
  <c r="AJ64" i="14" s="1"/>
  <c r="BD51" i="14"/>
  <c r="BD63" i="14" s="1"/>
  <c r="AN51" i="14"/>
  <c r="AN63" i="14" s="1"/>
  <c r="BI35" i="14"/>
  <c r="BI34" i="14"/>
  <c r="BN32" i="14"/>
  <c r="BM32" i="14"/>
  <c r="BJ32" i="14"/>
  <c r="BI32" i="14"/>
  <c r="BF32" i="14"/>
  <c r="BE35" i="14"/>
  <c r="BB32" i="14"/>
  <c r="BA32" i="14"/>
  <c r="BA35" i="14"/>
  <c r="AT32" i="14"/>
  <c r="AS32" i="14"/>
  <c r="AP32" i="14"/>
  <c r="AO35" i="14"/>
  <c r="AL32" i="14"/>
  <c r="AK32" i="14"/>
  <c r="AK35" i="14"/>
  <c r="AG51" i="14"/>
  <c r="AG63" i="14" s="1"/>
  <c r="BL35" i="14"/>
  <c r="BH35" i="14"/>
  <c r="BD32" i="14"/>
  <c r="BD35" i="14"/>
  <c r="AZ35" i="14"/>
  <c r="AV35" i="14"/>
  <c r="AR35" i="14"/>
  <c r="AN32" i="14"/>
  <c r="AN35" i="14"/>
  <c r="AJ35" i="14"/>
  <c r="AF35" i="14"/>
  <c r="BM15" i="14"/>
  <c r="BM52" i="14"/>
  <c r="BM64" i="14" s="1"/>
  <c r="BI52" i="14"/>
  <c r="BI64" i="14" s="1"/>
  <c r="BA52" i="14"/>
  <c r="BA64" i="14" s="1"/>
  <c r="AS52" i="14"/>
  <c r="AS64" i="14" s="1"/>
  <c r="AK52" i="14"/>
  <c r="AK64" i="14" s="1"/>
  <c r="BM51" i="14"/>
  <c r="BM63" i="14" s="1"/>
  <c r="BI51" i="14"/>
  <c r="BI63" i="14" s="1"/>
  <c r="BE51" i="14"/>
  <c r="BE63" i="14" s="1"/>
  <c r="BA51" i="14"/>
  <c r="BA63" i="14" s="1"/>
  <c r="AW51" i="14"/>
  <c r="AW63" i="14" s="1"/>
  <c r="AS51" i="14"/>
  <c r="AS63" i="14" s="1"/>
  <c r="AO51" i="14"/>
  <c r="AO63" i="14" s="1"/>
  <c r="AK51" i="14"/>
  <c r="AK63" i="14" s="1"/>
  <c r="AZ32" i="14"/>
  <c r="AR32" i="14"/>
  <c r="AP47" i="14"/>
  <c r="AP43" i="14" s="1"/>
  <c r="AQ15" i="14"/>
  <c r="AK24" i="14"/>
  <c r="AT15" i="14"/>
  <c r="AX15" i="14"/>
  <c r="AT17" i="14"/>
  <c r="AL15" i="14"/>
  <c r="BK12" i="14"/>
  <c r="BK47" i="14"/>
  <c r="BK43" i="14" s="1"/>
  <c r="AP17" i="14"/>
  <c r="BE47" i="14"/>
  <c r="BE43" i="14" s="1"/>
  <c r="BA47" i="14"/>
  <c r="BA43" i="14" s="1"/>
  <c r="AW47" i="14"/>
  <c r="AW43" i="14" s="1"/>
  <c r="BF17" i="14"/>
  <c r="BF53" i="14" s="1"/>
  <c r="BD26" i="14"/>
  <c r="AO21" i="14"/>
  <c r="BD47" i="14"/>
  <c r="BD43" i="14" s="1"/>
  <c r="AR47" i="14"/>
  <c r="AR43" i="14" s="1"/>
  <c r="AO17" i="14"/>
  <c r="AO15" i="14"/>
  <c r="AK12" i="14"/>
  <c r="BA12" i="14"/>
  <c r="AS12" i="14"/>
  <c r="AH12" i="14"/>
  <c r="BI17" i="14"/>
  <c r="BI15" i="14"/>
  <c r="BL17" i="14"/>
  <c r="AV17" i="14"/>
  <c r="BE15" i="14"/>
  <c r="BM12" i="14"/>
  <c r="BE17" i="14"/>
  <c r="AS17" i="14"/>
  <c r="AH17" i="14"/>
  <c r="AW15" i="14"/>
  <c r="AS26" i="14"/>
  <c r="AK26" i="14"/>
  <c r="AY12" i="14"/>
  <c r="BN12" i="14"/>
  <c r="BF12" i="14"/>
  <c r="AX12" i="14"/>
  <c r="AN47" i="14"/>
  <c r="AN43" i="14" s="1"/>
  <c r="AJ47" i="14"/>
  <c r="AJ43" i="14" s="1"/>
  <c r="AI47" i="14"/>
  <c r="AV20" i="14"/>
  <c r="AW21" i="14" s="1"/>
  <c r="BN17" i="14"/>
  <c r="BB15" i="14"/>
  <c r="BI12" i="14"/>
  <c r="AW12" i="14"/>
  <c r="AR12" i="14"/>
  <c r="AL23" i="14"/>
  <c r="BF20" i="14"/>
  <c r="BG21" i="14" s="1"/>
  <c r="BJ47" i="14"/>
  <c r="BJ43" i="14" s="1"/>
  <c r="BB47" i="14"/>
  <c r="BB43" i="14" s="1"/>
  <c r="AT47" i="14"/>
  <c r="AT43" i="14" s="1"/>
  <c r="AL47" i="14"/>
  <c r="AL43" i="14" s="1"/>
  <c r="AH47" i="14"/>
  <c r="AH43" i="14" s="1"/>
  <c r="AS47" i="14"/>
  <c r="AS43" i="14" s="1"/>
  <c r="AO47" i="14"/>
  <c r="AO43" i="14" s="1"/>
  <c r="AK47" i="14"/>
  <c r="AK43" i="14" s="1"/>
  <c r="AG47" i="14"/>
  <c r="AX23" i="14"/>
  <c r="BB17" i="14"/>
  <c r="AL17" i="14"/>
  <c r="AL53" i="14" s="1"/>
  <c r="BJ15" i="14"/>
  <c r="BJ12" i="14"/>
  <c r="BB12" i="14"/>
  <c r="AT12" i="14"/>
  <c r="AP12" i="14"/>
  <c r="AL12" i="14"/>
  <c r="AT23" i="14"/>
  <c r="AP20" i="14"/>
  <c r="AP21" i="14" s="1"/>
  <c r="BH47" i="14"/>
  <c r="BH43" i="14" s="1"/>
  <c r="AZ47" i="14"/>
  <c r="AZ43" i="14" s="1"/>
  <c r="AN26" i="14"/>
  <c r="BJ17" i="14"/>
  <c r="AZ15" i="14"/>
  <c r="BE21" i="14"/>
  <c r="BL20" i="14"/>
  <c r="BL26" i="14" s="1"/>
  <c r="BB20" i="14"/>
  <c r="BG47" i="14"/>
  <c r="BC47" i="14"/>
  <c r="AY47" i="14"/>
  <c r="AU47" i="14"/>
  <c r="AQ47" i="14"/>
  <c r="AM47" i="14"/>
  <c r="AE47" i="14"/>
  <c r="BL15" i="14"/>
  <c r="BK23" i="14"/>
  <c r="BL24" i="14" s="1"/>
  <c r="BK15" i="14"/>
  <c r="BH15" i="14"/>
  <c r="BG17" i="14"/>
  <c r="BG53" i="14" s="1"/>
  <c r="BC23" i="14"/>
  <c r="BD15" i="14"/>
  <c r="AV15" i="14"/>
  <c r="AU15" i="14"/>
  <c r="AR15" i="14"/>
  <c r="AQ23" i="14"/>
  <c r="AQ17" i="14"/>
  <c r="AM23" i="14"/>
  <c r="AM15" i="14"/>
  <c r="AJ15" i="14"/>
  <c r="AI15" i="14"/>
  <c r="AF15" i="14"/>
  <c r="AE23" i="14"/>
  <c r="AF24" i="14" s="1"/>
  <c r="BC20" i="14"/>
  <c r="BD21" i="14" s="1"/>
  <c r="BC12" i="14"/>
  <c r="AU12" i="14"/>
  <c r="AV12" i="14"/>
  <c r="AU20" i="14"/>
  <c r="AM20" i="14"/>
  <c r="AN12" i="14"/>
  <c r="AE20" i="14"/>
  <c r="AF12" i="14"/>
  <c r="AY23" i="14"/>
  <c r="AY26" i="14" s="1"/>
  <c r="BK20" i="14"/>
  <c r="AQ20" i="14"/>
  <c r="AM17" i="14"/>
  <c r="BC15" i="14"/>
  <c r="BG12" i="14"/>
  <c r="AM12" i="14"/>
  <c r="AI23" i="14"/>
  <c r="AI26" i="14" s="1"/>
  <c r="BK17" i="14"/>
  <c r="BK53" i="14" s="1"/>
  <c r="AY17" i="14"/>
  <c r="AE17" i="14"/>
  <c r="AE53" i="14" s="1"/>
  <c r="BM23" i="14"/>
  <c r="BM17" i="14"/>
  <c r="BI26" i="14"/>
  <c r="BI24" i="14"/>
  <c r="BE23" i="14"/>
  <c r="BF15" i="14"/>
  <c r="BA23" i="14"/>
  <c r="BA15" i="14"/>
  <c r="AW23" i="14"/>
  <c r="AW17" i="14"/>
  <c r="AO23" i="14"/>
  <c r="AP15" i="14"/>
  <c r="AG23" i="14"/>
  <c r="AG15" i="14"/>
  <c r="AH15" i="14"/>
  <c r="AG17" i="14"/>
  <c r="BL12" i="14"/>
  <c r="BD12" i="14"/>
  <c r="BC17" i="14"/>
  <c r="AK17" i="14"/>
  <c r="BN15" i="14"/>
  <c r="BG15" i="14"/>
  <c r="AY15" i="14"/>
  <c r="AS15" i="14"/>
  <c r="AK15" i="14"/>
  <c r="AS24" i="14"/>
  <c r="BG23" i="14"/>
  <c r="BG26" i="14" s="1"/>
  <c r="AU23" i="14"/>
  <c r="BH20" i="14"/>
  <c r="BH21" i="14" s="1"/>
  <c r="BH17" i="14"/>
  <c r="BE12" i="14"/>
  <c r="BD17" i="14"/>
  <c r="AZ12" i="14"/>
  <c r="AZ17" i="14"/>
  <c r="AR20" i="14"/>
  <c r="AR26" i="14" s="1"/>
  <c r="AR17" i="14"/>
  <c r="AR53" i="14" s="1"/>
  <c r="AO12" i="14"/>
  <c r="AN17" i="14"/>
  <c r="AN53" i="14" s="1"/>
  <c r="AJ12" i="14"/>
  <c r="AJ17" i="14"/>
  <c r="AG12" i="14"/>
  <c r="AF17" i="14"/>
  <c r="AZ20" i="14"/>
  <c r="BL47" i="14"/>
  <c r="BL43" i="14" s="1"/>
  <c r="AV47" i="14"/>
  <c r="AV43" i="14" s="1"/>
  <c r="AF47" i="14"/>
  <c r="AF43" i="14" s="1"/>
  <c r="AN15" i="14"/>
  <c r="AI12" i="14"/>
  <c r="BN20" i="14"/>
  <c r="AX20" i="14"/>
  <c r="AH20" i="14"/>
  <c r="AF6" i="26"/>
  <c r="AG7" i="26"/>
  <c r="AE4" i="26"/>
  <c r="AE5" i="26"/>
  <c r="AM83" i="12"/>
  <c r="BK83" i="12"/>
  <c r="AE83" i="12"/>
  <c r="BC83" i="12"/>
  <c r="W83" i="12"/>
  <c r="AU83" i="12"/>
  <c r="O83" i="12"/>
  <c r="BJ83" i="12"/>
  <c r="BB83" i="12"/>
  <c r="AT83" i="12"/>
  <c r="AL83" i="12"/>
  <c r="AD83" i="12"/>
  <c r="V83" i="12"/>
  <c r="N83" i="12"/>
  <c r="G83" i="12"/>
  <c r="BG83" i="12"/>
  <c r="AY83" i="12"/>
  <c r="AQ83" i="12"/>
  <c r="AI83" i="12"/>
  <c r="AA83" i="12"/>
  <c r="S83" i="12"/>
  <c r="K83" i="12"/>
  <c r="BN83" i="12"/>
  <c r="BF83" i="12"/>
  <c r="AX83" i="12"/>
  <c r="AP83" i="12"/>
  <c r="AH83" i="12"/>
  <c r="Z83" i="12"/>
  <c r="R83" i="12"/>
  <c r="J83" i="12"/>
  <c r="BM83" i="12"/>
  <c r="BI83" i="12"/>
  <c r="BE83" i="12"/>
  <c r="BA83" i="12"/>
  <c r="AW83" i="12"/>
  <c r="AS83" i="12"/>
  <c r="AO83" i="12"/>
  <c r="AK83" i="12"/>
  <c r="AG83" i="12"/>
  <c r="AC83" i="12"/>
  <c r="Y83" i="12"/>
  <c r="U83" i="12"/>
  <c r="Q83" i="12"/>
  <c r="M83" i="12"/>
  <c r="I83" i="12"/>
  <c r="BL83" i="12"/>
  <c r="BH83" i="12"/>
  <c r="BD83" i="12"/>
  <c r="AZ83" i="12"/>
  <c r="AV83" i="12"/>
  <c r="AR83" i="12"/>
  <c r="AN83" i="12"/>
  <c r="AJ83" i="12"/>
  <c r="AF83" i="12"/>
  <c r="AB83" i="12"/>
  <c r="X83" i="12"/>
  <c r="T83" i="12"/>
  <c r="P83" i="12"/>
  <c r="L83" i="12"/>
  <c r="G69" i="12"/>
  <c r="F41" i="12"/>
  <c r="E41" i="12"/>
  <c r="G41" i="12" s="1"/>
  <c r="AE181" i="12"/>
  <c r="AE207" i="12" s="1"/>
  <c r="AF181" i="12"/>
  <c r="AF207" i="12" s="1"/>
  <c r="AG181" i="12"/>
  <c r="AG189" i="12" s="1"/>
  <c r="AH181" i="12"/>
  <c r="AH207" i="12" s="1"/>
  <c r="AI181" i="12"/>
  <c r="AI207" i="12" s="1"/>
  <c r="AJ181" i="12"/>
  <c r="AJ207" i="12" s="1"/>
  <c r="AK181" i="12"/>
  <c r="AK189" i="12" s="1"/>
  <c r="AL181" i="12"/>
  <c r="AL189" i="12" s="1"/>
  <c r="AM181" i="12"/>
  <c r="AM207" i="12" s="1"/>
  <c r="AN181" i="12"/>
  <c r="AN207" i="12" s="1"/>
  <c r="AO181" i="12"/>
  <c r="AO189" i="12" s="1"/>
  <c r="AP181" i="12"/>
  <c r="AP189" i="12" s="1"/>
  <c r="AQ181" i="12"/>
  <c r="AQ189" i="12" s="1"/>
  <c r="AR181" i="12"/>
  <c r="AR207" i="12" s="1"/>
  <c r="AS181" i="12"/>
  <c r="AS207" i="12" s="1"/>
  <c r="AT181" i="12"/>
  <c r="AU181" i="12"/>
  <c r="AU207" i="12" s="1"/>
  <c r="AV181" i="12"/>
  <c r="AV207" i="12" s="1"/>
  <c r="AW181" i="12"/>
  <c r="AW189" i="12" s="1"/>
  <c r="AX181" i="12"/>
  <c r="AX207" i="12" s="1"/>
  <c r="AY181" i="12"/>
  <c r="AY207" i="12" s="1"/>
  <c r="AZ181" i="12"/>
  <c r="AZ207" i="12" s="1"/>
  <c r="BA181" i="12"/>
  <c r="BA189" i="12" s="1"/>
  <c r="BB181" i="12"/>
  <c r="BB189" i="12" s="1"/>
  <c r="BC181" i="12"/>
  <c r="BC207" i="12" s="1"/>
  <c r="BD181" i="12"/>
  <c r="BD207" i="12" s="1"/>
  <c r="BE181" i="12"/>
  <c r="BE189" i="12" s="1"/>
  <c r="BF181" i="12"/>
  <c r="BF207" i="12" s="1"/>
  <c r="BG181" i="12"/>
  <c r="BG189" i="12" s="1"/>
  <c r="BH181" i="12"/>
  <c r="BH207" i="12" s="1"/>
  <c r="BI181" i="12"/>
  <c r="BI207" i="12" s="1"/>
  <c r="BJ181" i="12"/>
  <c r="BJ207" i="12" s="1"/>
  <c r="BK181" i="12"/>
  <c r="BK207" i="12" s="1"/>
  <c r="BL181" i="12"/>
  <c r="BL207" i="12" s="1"/>
  <c r="BM181" i="12"/>
  <c r="BM189" i="12" s="1"/>
  <c r="BN181" i="12"/>
  <c r="BN207" i="12" s="1"/>
  <c r="AE189" i="12"/>
  <c r="H10" i="11"/>
  <c r="I10" i="11" s="1"/>
  <c r="J10" i="11" s="1"/>
  <c r="K10" i="11" s="1"/>
  <c r="V10" i="11"/>
  <c r="O10" i="11"/>
  <c r="P10" i="11" l="1"/>
  <c r="O24" i="11"/>
  <c r="W10" i="11"/>
  <c r="V24" i="11"/>
  <c r="AG43" i="14"/>
  <c r="AI43" i="14"/>
  <c r="AI65" i="14" s="1"/>
  <c r="AY43" i="14"/>
  <c r="AE43" i="14"/>
  <c r="AE65" i="14" s="1"/>
  <c r="AR65" i="14"/>
  <c r="BA53" i="14"/>
  <c r="BA65" i="14" s="1"/>
  <c r="AU43" i="14"/>
  <c r="AU65" i="14" s="1"/>
  <c r="BF65" i="14"/>
  <c r="AL65" i="14"/>
  <c r="AM43" i="14"/>
  <c r="BC43" i="14"/>
  <c r="AN65" i="14"/>
  <c r="BK65" i="14"/>
  <c r="AQ43" i="14"/>
  <c r="BG43" i="14"/>
  <c r="BG65" i="14" s="1"/>
  <c r="BM53" i="14"/>
  <c r="BM65" i="14" s="1"/>
  <c r="AT53" i="14"/>
  <c r="AT65" i="14" s="1"/>
  <c r="BJ53" i="14"/>
  <c r="BJ65" i="14" s="1"/>
  <c r="AM53" i="14"/>
  <c r="AG21" i="14"/>
  <c r="AZ24" i="14"/>
  <c r="BH53" i="14"/>
  <c r="BH65" i="14" s="1"/>
  <c r="BN53" i="14"/>
  <c r="BN65" i="14" s="1"/>
  <c r="AX53" i="14"/>
  <c r="AX65" i="14" s="1"/>
  <c r="AQ24" i="14"/>
  <c r="BJ26" i="14"/>
  <c r="AP24" i="14"/>
  <c r="BB24" i="14"/>
  <c r="AG53" i="14"/>
  <c r="AG65" i="14" s="1"/>
  <c r="AW53" i="14"/>
  <c r="AW65" i="14" s="1"/>
  <c r="BE53" i="14"/>
  <c r="BE65" i="14" s="1"/>
  <c r="AJ21" i="14"/>
  <c r="BL53" i="14"/>
  <c r="BL65" i="14" s="1"/>
  <c r="AU21" i="14"/>
  <c r="AP53" i="14"/>
  <c r="AP65" i="14" s="1"/>
  <c r="AF53" i="14"/>
  <c r="AF65" i="14" s="1"/>
  <c r="AK53" i="14"/>
  <c r="AK65" i="14" s="1"/>
  <c r="AK21" i="14"/>
  <c r="BC53" i="14"/>
  <c r="AU90" i="14"/>
  <c r="AU91" i="14" s="1"/>
  <c r="BB26" i="14"/>
  <c r="BI53" i="14"/>
  <c r="BI65" i="14" s="1"/>
  <c r="AV90" i="14"/>
  <c r="AV91" i="14" s="1"/>
  <c r="AV53" i="14"/>
  <c r="AV65" i="14" s="1"/>
  <c r="AJ90" i="14"/>
  <c r="AJ91" i="14" s="1"/>
  <c r="AJ53" i="14"/>
  <c r="AJ65" i="14" s="1"/>
  <c r="AT26" i="14"/>
  <c r="BB90" i="14"/>
  <c r="BB91" i="14" s="1"/>
  <c r="BB53" i="14"/>
  <c r="BB65" i="14" s="1"/>
  <c r="AL26" i="14"/>
  <c r="AP90" i="14"/>
  <c r="AP91" i="14" s="1"/>
  <c r="AO53" i="14"/>
  <c r="AO65" i="14" s="1"/>
  <c r="AI90" i="14"/>
  <c r="AI91" i="14" s="1"/>
  <c r="AH53" i="14"/>
  <c r="AH65" i="14" s="1"/>
  <c r="BD53" i="14"/>
  <c r="BD65" i="14" s="1"/>
  <c r="BA90" i="14"/>
  <c r="BA91" i="14" s="1"/>
  <c r="AZ53" i="14"/>
  <c r="AZ65" i="14" s="1"/>
  <c r="AT24" i="14"/>
  <c r="AY90" i="14"/>
  <c r="AY91" i="14" s="1"/>
  <c r="AY53" i="14"/>
  <c r="AY65" i="14" s="1"/>
  <c r="AM21" i="14"/>
  <c r="AQ90" i="14"/>
  <c r="AQ91" i="14" s="1"/>
  <c r="AQ53" i="14"/>
  <c r="AT90" i="14"/>
  <c r="AT91" i="14" s="1"/>
  <c r="AS53" i="14"/>
  <c r="AS65" i="14" s="1"/>
  <c r="BC90" i="14"/>
  <c r="BC91" i="14" s="1"/>
  <c r="AM24" i="14"/>
  <c r="BF90" i="14"/>
  <c r="BF91" i="14" s="1"/>
  <c r="AL24" i="14"/>
  <c r="BJ90" i="14"/>
  <c r="BJ91" i="14" s="1"/>
  <c r="AY24" i="14"/>
  <c r="AO90" i="14"/>
  <c r="AO91" i="14" s="1"/>
  <c r="AN21" i="14"/>
  <c r="AJ24" i="14"/>
  <c r="BL21" i="14"/>
  <c r="BG90" i="14"/>
  <c r="BG91" i="14" s="1"/>
  <c r="BK24" i="14"/>
  <c r="BM90" i="14"/>
  <c r="BM91" i="14" s="1"/>
  <c r="AS21" i="14"/>
  <c r="BH90" i="14"/>
  <c r="BH91" i="14" s="1"/>
  <c r="AI24" i="14"/>
  <c r="BB21" i="14"/>
  <c r="AQ21" i="14"/>
  <c r="AG90" i="14"/>
  <c r="AG91" i="14" s="1"/>
  <c r="BC21" i="14"/>
  <c r="AV21" i="14"/>
  <c r="BM21" i="14"/>
  <c r="BF26" i="14"/>
  <c r="AP26" i="14"/>
  <c r="BF21" i="14"/>
  <c r="AH90" i="14"/>
  <c r="AH91" i="14" s="1"/>
  <c r="AV26" i="14"/>
  <c r="BH24" i="14"/>
  <c r="AM90" i="14"/>
  <c r="AM91" i="14" s="1"/>
  <c r="BG24" i="14"/>
  <c r="AI21" i="14"/>
  <c r="AH26" i="14"/>
  <c r="AH21" i="14"/>
  <c r="AU26" i="14"/>
  <c r="AV24" i="14"/>
  <c r="AW90" i="14"/>
  <c r="AW91" i="14" s="1"/>
  <c r="AX90" i="14"/>
  <c r="AX91" i="14" s="1"/>
  <c r="AY21" i="14"/>
  <c r="AX21" i="14"/>
  <c r="AX26" i="14"/>
  <c r="AZ26" i="14"/>
  <c r="AZ21" i="14"/>
  <c r="BA21" i="14"/>
  <c r="AR90" i="14"/>
  <c r="AR91" i="14" s="1"/>
  <c r="BD90" i="14"/>
  <c r="BD91" i="14" s="1"/>
  <c r="AG24" i="14"/>
  <c r="AG26" i="14"/>
  <c r="AH24" i="14"/>
  <c r="AW24" i="14"/>
  <c r="AW26" i="14"/>
  <c r="AX24" i="14"/>
  <c r="BE26" i="14"/>
  <c r="BE24" i="14"/>
  <c r="BM24" i="14"/>
  <c r="BM26" i="14"/>
  <c r="BN24" i="14"/>
  <c r="BE90" i="14"/>
  <c r="BE91" i="14" s="1"/>
  <c r="AQ26" i="14"/>
  <c r="BN90" i="14"/>
  <c r="BN91" i="14" s="1"/>
  <c r="BN26" i="14"/>
  <c r="BN21" i="14"/>
  <c r="AR21" i="14"/>
  <c r="AR24" i="14"/>
  <c r="BK21" i="14"/>
  <c r="AK90" i="14"/>
  <c r="AK91" i="14" s="1"/>
  <c r="AL90" i="14"/>
  <c r="AL91" i="14" s="1"/>
  <c r="BK90" i="14"/>
  <c r="BK91" i="14" s="1"/>
  <c r="BL90" i="14"/>
  <c r="BL91" i="14" s="1"/>
  <c r="AU24" i="14"/>
  <c r="AF21" i="14"/>
  <c r="AE26" i="14"/>
  <c r="BC26" i="14"/>
  <c r="BD24" i="14"/>
  <c r="BK26" i="14"/>
  <c r="BI21" i="14"/>
  <c r="AF90" i="14"/>
  <c r="AF91" i="14" s="1"/>
  <c r="AN90" i="14"/>
  <c r="AN91" i="14" s="1"/>
  <c r="AZ90" i="14"/>
  <c r="AZ91" i="14" s="1"/>
  <c r="BH26" i="14"/>
  <c r="BC24" i="14"/>
  <c r="BF24" i="14"/>
  <c r="AO26" i="14"/>
  <c r="AO24" i="14"/>
  <c r="BA26" i="14"/>
  <c r="BA24" i="14"/>
  <c r="AS90" i="14"/>
  <c r="AS91" i="14" s="1"/>
  <c r="AM26" i="14"/>
  <c r="AN24" i="14"/>
  <c r="BI90" i="14"/>
  <c r="BI91" i="14" s="1"/>
  <c r="AH7" i="26"/>
  <c r="AG6" i="26"/>
  <c r="AF4" i="26"/>
  <c r="AF5" i="26"/>
  <c r="BE207" i="12"/>
  <c r="AG207" i="12"/>
  <c r="AQ207" i="12"/>
  <c r="BG207" i="12"/>
  <c r="BK189" i="12"/>
  <c r="AT207" i="12"/>
  <c r="AT189" i="12"/>
  <c r="BM207" i="12"/>
  <c r="AK207" i="12"/>
  <c r="BI189" i="12"/>
  <c r="AU189" i="12"/>
  <c r="BB207" i="12"/>
  <c r="BF189" i="12"/>
  <c r="BA207" i="12"/>
  <c r="AO207" i="12"/>
  <c r="AP207" i="12"/>
  <c r="AW207" i="12"/>
  <c r="AL207" i="12"/>
  <c r="BJ189" i="12"/>
  <c r="AS189" i="12"/>
  <c r="AY189" i="12"/>
  <c r="AI189" i="12"/>
  <c r="BN189" i="12"/>
  <c r="BC189" i="12"/>
  <c r="AX189" i="12"/>
  <c r="AM189" i="12"/>
  <c r="AH189" i="12"/>
  <c r="BL189" i="12"/>
  <c r="BH189" i="12"/>
  <c r="BD189" i="12"/>
  <c r="AZ189" i="12"/>
  <c r="AV189" i="12"/>
  <c r="AR189" i="12"/>
  <c r="AN189" i="12"/>
  <c r="AJ189" i="12"/>
  <c r="AF189" i="12"/>
  <c r="X10" i="11" l="1"/>
  <c r="W24" i="11"/>
  <c r="Q10" i="11"/>
  <c r="P24" i="11"/>
  <c r="BC65" i="14"/>
  <c r="AM65" i="14"/>
  <c r="AQ65" i="14"/>
  <c r="AG5" i="26"/>
  <c r="AG4" i="26"/>
  <c r="AI7" i="26"/>
  <c r="AH6" i="26"/>
  <c r="R10" i="11" l="1"/>
  <c r="R24" i="11" s="1"/>
  <c r="Q24" i="11"/>
  <c r="Y10" i="11"/>
  <c r="Y24" i="11" s="1"/>
  <c r="X24" i="11"/>
  <c r="AH4" i="26"/>
  <c r="AH5" i="26"/>
  <c r="AI6" i="26"/>
  <c r="AJ7" i="26"/>
  <c r="AK7" i="26" l="1"/>
  <c r="AJ6" i="26"/>
  <c r="AI4" i="26"/>
  <c r="AI5" i="26"/>
  <c r="AJ4" i="26" l="1"/>
  <c r="AJ5" i="26"/>
  <c r="AK6" i="26"/>
  <c r="AL7" i="26"/>
  <c r="AM7" i="26" l="1"/>
  <c r="AL6" i="26"/>
  <c r="AK4" i="26"/>
  <c r="AK5" i="26"/>
  <c r="AL5" i="26" l="1"/>
  <c r="AL4" i="26"/>
  <c r="AM6" i="26"/>
  <c r="AN7" i="26"/>
  <c r="AM4" i="26" l="1"/>
  <c r="AM5" i="26"/>
  <c r="AN6" i="26"/>
  <c r="AO7" i="26"/>
  <c r="AP7" i="26" l="1"/>
  <c r="AO6" i="26"/>
  <c r="AN4" i="26"/>
  <c r="AN5" i="26"/>
  <c r="AO5" i="26" l="1"/>
  <c r="AO4" i="26"/>
  <c r="AQ7" i="26"/>
  <c r="AP6" i="26"/>
  <c r="AQ6" i="26" l="1"/>
  <c r="AR7" i="26"/>
  <c r="AP4" i="26"/>
  <c r="AP5" i="26"/>
  <c r="AS7" i="26" l="1"/>
  <c r="AR6" i="26"/>
  <c r="AQ4" i="26"/>
  <c r="AQ5" i="26"/>
  <c r="AR5" i="26" l="1"/>
  <c r="AR4" i="26"/>
  <c r="AS6" i="26"/>
  <c r="AT7" i="26"/>
  <c r="AU7" i="26" l="1"/>
  <c r="AT6" i="26"/>
  <c r="AS4" i="26"/>
  <c r="AS5" i="26"/>
  <c r="AT4" i="26" l="1"/>
  <c r="AT5" i="26"/>
  <c r="AU6" i="26"/>
  <c r="AV7" i="26"/>
  <c r="AW7" i="26" l="1"/>
  <c r="AV6" i="26"/>
  <c r="AU4" i="26"/>
  <c r="AU5" i="26"/>
  <c r="AV4" i="26" l="1"/>
  <c r="AV5" i="26"/>
  <c r="AX7" i="26"/>
  <c r="AW6" i="26"/>
  <c r="AW5" i="26" l="1"/>
  <c r="AW4" i="26"/>
  <c r="AY7" i="26"/>
  <c r="AX6" i="26"/>
  <c r="AX4" i="26" l="1"/>
  <c r="AX5" i="26"/>
  <c r="AY6" i="26"/>
  <c r="AZ7" i="26"/>
  <c r="AZ6" i="26" l="1"/>
  <c r="BA7" i="26"/>
  <c r="AY4" i="26"/>
  <c r="AY5" i="26"/>
  <c r="AZ4" i="26" l="1"/>
  <c r="AZ5" i="26"/>
  <c r="BA6" i="26"/>
  <c r="BB7" i="26"/>
  <c r="BC7" i="26" l="1"/>
  <c r="BB6" i="26"/>
  <c r="BA4" i="26"/>
  <c r="BA5" i="26"/>
  <c r="BC6" i="26" l="1"/>
  <c r="BD7" i="26"/>
  <c r="BB5" i="26"/>
  <c r="BB4" i="26"/>
  <c r="BC4" i="26" l="1"/>
  <c r="BC5" i="26"/>
  <c r="BD6" i="26"/>
  <c r="BE7" i="26"/>
  <c r="BD5" i="26" l="1"/>
  <c r="BD4" i="26"/>
  <c r="BF7" i="26"/>
  <c r="BE6" i="26"/>
  <c r="BG7" i="26" l="1"/>
  <c r="BF6" i="26"/>
  <c r="BE5" i="26"/>
  <c r="BE4" i="26"/>
  <c r="BF4" i="26" l="1"/>
  <c r="BF5" i="26"/>
  <c r="BG6" i="26"/>
  <c r="BH7" i="26"/>
  <c r="BG4" i="26" l="1"/>
  <c r="BG5" i="26"/>
  <c r="BI7" i="26"/>
  <c r="BH6" i="26"/>
  <c r="BH5" i="26" l="1"/>
  <c r="BH4" i="26"/>
  <c r="BI6" i="26"/>
  <c r="BJ7" i="26"/>
  <c r="BI4" i="26" l="1"/>
  <c r="BI5" i="26"/>
  <c r="BK7" i="26"/>
  <c r="BJ6" i="26"/>
  <c r="BJ4" i="26" l="1"/>
  <c r="BJ5" i="26"/>
  <c r="BK6" i="26"/>
  <c r="BL7" i="26"/>
  <c r="BM7" i="26" l="1"/>
  <c r="BL6" i="26"/>
  <c r="BK4" i="26"/>
  <c r="BK5" i="26"/>
  <c r="BL4" i="26" l="1"/>
  <c r="BL5" i="26"/>
  <c r="BN7" i="26"/>
  <c r="BM6" i="26"/>
  <c r="BN6" i="26" l="1"/>
  <c r="BM5" i="26"/>
  <c r="BM4" i="26"/>
  <c r="BN4" i="26" l="1"/>
  <c r="BN5" i="26"/>
  <c r="G90" i="26" l="1"/>
  <c r="G109" i="26" s="1"/>
  <c r="E48" i="26"/>
  <c r="AB48" i="26" s="1"/>
  <c r="G113" i="26"/>
  <c r="C110" i="26"/>
  <c r="C109" i="26"/>
  <c r="C108" i="26"/>
  <c r="G103" i="26"/>
  <c r="G104" i="26" s="1"/>
  <c r="G110" i="26" s="1"/>
  <c r="AD90" i="26"/>
  <c r="AD109" i="26" s="1"/>
  <c r="AC90" i="26"/>
  <c r="AB90" i="26"/>
  <c r="AA90" i="26"/>
  <c r="AA109" i="26" s="1"/>
  <c r="Z90" i="26"/>
  <c r="Z109" i="26" s="1"/>
  <c r="Y90" i="26"/>
  <c r="X90" i="26"/>
  <c r="W90" i="26"/>
  <c r="W109" i="26" s="1"/>
  <c r="V90" i="26"/>
  <c r="V109" i="26" s="1"/>
  <c r="U90" i="26"/>
  <c r="T90" i="26"/>
  <c r="S90" i="26"/>
  <c r="S109" i="26" s="1"/>
  <c r="R90" i="26"/>
  <c r="R109" i="26" s="1"/>
  <c r="Q90" i="26"/>
  <c r="P90" i="26"/>
  <c r="O90" i="26"/>
  <c r="O109" i="26" s="1"/>
  <c r="N90" i="26"/>
  <c r="N109" i="26" s="1"/>
  <c r="M90" i="26"/>
  <c r="L90" i="26"/>
  <c r="K90" i="26"/>
  <c r="K109" i="26" s="1"/>
  <c r="J90" i="26"/>
  <c r="J109" i="26" s="1"/>
  <c r="I90" i="26"/>
  <c r="H90" i="26"/>
  <c r="H7" i="26"/>
  <c r="I7" i="26" s="1"/>
  <c r="I6" i="26" s="1"/>
  <c r="G5" i="26"/>
  <c r="G4" i="26"/>
  <c r="E74" i="14"/>
  <c r="O74" i="14" s="1"/>
  <c r="E73" i="14"/>
  <c r="I73" i="14" s="1"/>
  <c r="E56" i="14"/>
  <c r="E55" i="14"/>
  <c r="G55" i="14" s="1"/>
  <c r="H7" i="14"/>
  <c r="G5" i="14"/>
  <c r="G4" i="14"/>
  <c r="R181" i="12"/>
  <c r="R207" i="12" s="1"/>
  <c r="S181" i="12"/>
  <c r="S207" i="12" s="1"/>
  <c r="T181" i="12"/>
  <c r="T189" i="12" s="1"/>
  <c r="U181" i="12"/>
  <c r="U189" i="12" s="1"/>
  <c r="V181" i="12"/>
  <c r="V207" i="12" s="1"/>
  <c r="W181" i="12"/>
  <c r="W207" i="12" s="1"/>
  <c r="X181" i="12"/>
  <c r="X189" i="12" s="1"/>
  <c r="Y181" i="12"/>
  <c r="Y189" i="12" s="1"/>
  <c r="Z181" i="12"/>
  <c r="Z207" i="12" s="1"/>
  <c r="AA181" i="12"/>
  <c r="AA207" i="12" s="1"/>
  <c r="AB181" i="12"/>
  <c r="AB189" i="12" s="1"/>
  <c r="AC181" i="12"/>
  <c r="AC189" i="12" s="1"/>
  <c r="AD181" i="12"/>
  <c r="AD207" i="12" s="1"/>
  <c r="C189" i="12"/>
  <c r="C188" i="12"/>
  <c r="E192" i="12"/>
  <c r="N181" i="12"/>
  <c r="N189" i="12" s="1"/>
  <c r="O181" i="12"/>
  <c r="O189" i="12" s="1"/>
  <c r="P181" i="12"/>
  <c r="P189" i="12" s="1"/>
  <c r="Q181" i="12"/>
  <c r="Q189" i="12" s="1"/>
  <c r="H181" i="12"/>
  <c r="H207" i="12" s="1"/>
  <c r="I181" i="12"/>
  <c r="I207" i="12" s="1"/>
  <c r="J181" i="12"/>
  <c r="J207" i="12" s="1"/>
  <c r="K181" i="12"/>
  <c r="L181" i="12"/>
  <c r="L207" i="12" s="1"/>
  <c r="M181" i="12"/>
  <c r="M207" i="12" s="1"/>
  <c r="G181" i="12"/>
  <c r="G207" i="12" s="1"/>
  <c r="G211" i="12"/>
  <c r="C208" i="12"/>
  <c r="C207" i="12"/>
  <c r="C206" i="12"/>
  <c r="G201" i="12"/>
  <c r="G161" i="12" s="1"/>
  <c r="F152" i="12"/>
  <c r="E152" i="12"/>
  <c r="G152" i="12" s="1"/>
  <c r="E148" i="12"/>
  <c r="G148" i="12" s="1"/>
  <c r="E140" i="12"/>
  <c r="E128" i="12"/>
  <c r="G123" i="12"/>
  <c r="E71" i="12"/>
  <c r="E107" i="12"/>
  <c r="E101" i="12"/>
  <c r="E99" i="12"/>
  <c r="E100" i="12"/>
  <c r="C77" i="12"/>
  <c r="C76" i="12"/>
  <c r="C75" i="12"/>
  <c r="C35" i="9"/>
  <c r="C34" i="9"/>
  <c r="G75" i="12"/>
  <c r="E64" i="12"/>
  <c r="E60" i="12"/>
  <c r="E65" i="12"/>
  <c r="E61" i="12"/>
  <c r="E57" i="12"/>
  <c r="E53" i="12"/>
  <c r="E52" i="12"/>
  <c r="G5" i="9"/>
  <c r="G4" i="9"/>
  <c r="G4" i="12"/>
  <c r="G5" i="12"/>
  <c r="H7" i="12"/>
  <c r="C75" i="9"/>
  <c r="C74" i="9"/>
  <c r="C54" i="9"/>
  <c r="H30" i="9"/>
  <c r="H55" i="9" s="1"/>
  <c r="I30" i="9"/>
  <c r="I55" i="9" s="1"/>
  <c r="J30" i="9"/>
  <c r="J55" i="9" s="1"/>
  <c r="K30" i="9"/>
  <c r="K55" i="9" s="1"/>
  <c r="L30" i="9"/>
  <c r="L55" i="9" s="1"/>
  <c r="M30" i="9"/>
  <c r="M55" i="9" s="1"/>
  <c r="N30" i="9"/>
  <c r="N55" i="9" s="1"/>
  <c r="O30" i="9"/>
  <c r="O55" i="9" s="1"/>
  <c r="P30" i="9"/>
  <c r="P55" i="9" s="1"/>
  <c r="Q30" i="9"/>
  <c r="Q55" i="9" s="1"/>
  <c r="R30" i="9"/>
  <c r="R55" i="9" s="1"/>
  <c r="G30" i="9"/>
  <c r="G55" i="9" s="1"/>
  <c r="C62" i="9"/>
  <c r="C63" i="9"/>
  <c r="C41" i="9"/>
  <c r="C40" i="9"/>
  <c r="E57" i="9"/>
  <c r="E49" i="9"/>
  <c r="C48" i="9"/>
  <c r="G26" i="9"/>
  <c r="E28" i="9"/>
  <c r="E18" i="9"/>
  <c r="G16" i="9"/>
  <c r="E24" i="9"/>
  <c r="E14" i="9"/>
  <c r="E23" i="9"/>
  <c r="G23" i="9" s="1"/>
  <c r="G27" i="9" s="1"/>
  <c r="E13" i="9"/>
  <c r="G13" i="9" s="1"/>
  <c r="G17" i="9" s="1"/>
  <c r="AH56" i="14" l="1"/>
  <c r="AH60" i="14" s="1"/>
  <c r="AL56" i="14"/>
  <c r="AL60" i="14" s="1"/>
  <c r="AP56" i="14"/>
  <c r="AP60" i="14" s="1"/>
  <c r="AT56" i="14"/>
  <c r="AT60" i="14" s="1"/>
  <c r="AX56" i="14"/>
  <c r="AX60" i="14" s="1"/>
  <c r="BB56" i="14"/>
  <c r="BB60" i="14" s="1"/>
  <c r="BF56" i="14"/>
  <c r="BF60" i="14" s="1"/>
  <c r="BJ56" i="14"/>
  <c r="BJ60" i="14" s="1"/>
  <c r="BN56" i="14"/>
  <c r="BN60" i="14" s="1"/>
  <c r="AG56" i="14"/>
  <c r="AG60" i="14" s="1"/>
  <c r="AM56" i="14"/>
  <c r="AM60" i="14" s="1"/>
  <c r="AR56" i="14"/>
  <c r="AR60" i="14" s="1"/>
  <c r="AW56" i="14"/>
  <c r="AW60" i="14" s="1"/>
  <c r="BC56" i="14"/>
  <c r="BC60" i="14" s="1"/>
  <c r="BH56" i="14"/>
  <c r="BH60" i="14" s="1"/>
  <c r="BM56" i="14"/>
  <c r="BM60" i="14" s="1"/>
  <c r="AI56" i="14"/>
  <c r="AI60" i="14" s="1"/>
  <c r="AN56" i="14"/>
  <c r="AN60" i="14" s="1"/>
  <c r="AS56" i="14"/>
  <c r="AS60" i="14" s="1"/>
  <c r="AY56" i="14"/>
  <c r="AY60" i="14" s="1"/>
  <c r="BD56" i="14"/>
  <c r="BD60" i="14" s="1"/>
  <c r="BI56" i="14"/>
  <c r="BI60" i="14" s="1"/>
  <c r="AJ56" i="14"/>
  <c r="AJ60" i="14" s="1"/>
  <c r="AU56" i="14"/>
  <c r="AU60" i="14" s="1"/>
  <c r="BE56" i="14"/>
  <c r="BE60" i="14" s="1"/>
  <c r="AO56" i="14"/>
  <c r="AO60" i="14" s="1"/>
  <c r="BK56" i="14"/>
  <c r="BK60" i="14" s="1"/>
  <c r="AQ56" i="14"/>
  <c r="AQ60" i="14" s="1"/>
  <c r="BL56" i="14"/>
  <c r="BL60" i="14" s="1"/>
  <c r="AK56" i="14"/>
  <c r="AK60" i="14" s="1"/>
  <c r="AV56" i="14"/>
  <c r="AV60" i="14" s="1"/>
  <c r="BG56" i="14"/>
  <c r="BG60" i="14" s="1"/>
  <c r="AE56" i="14"/>
  <c r="AE60" i="14" s="1"/>
  <c r="AZ56" i="14"/>
  <c r="AZ60" i="14" s="1"/>
  <c r="AF56" i="14"/>
  <c r="AF60" i="14" s="1"/>
  <c r="BA56" i="14"/>
  <c r="BA60" i="14" s="1"/>
  <c r="AH55" i="14"/>
  <c r="AL55" i="14"/>
  <c r="AP55" i="14"/>
  <c r="AT55" i="14"/>
  <c r="AX55" i="14"/>
  <c r="BB55" i="14"/>
  <c r="BF55" i="14"/>
  <c r="BJ55" i="14"/>
  <c r="BN55" i="14"/>
  <c r="AF55" i="14"/>
  <c r="AK55" i="14"/>
  <c r="AQ55" i="14"/>
  <c r="AV55" i="14"/>
  <c r="BA55" i="14"/>
  <c r="BG55" i="14"/>
  <c r="BL55" i="14"/>
  <c r="AG55" i="14"/>
  <c r="AM55" i="14"/>
  <c r="AR55" i="14"/>
  <c r="AW55" i="14"/>
  <c r="BC55" i="14"/>
  <c r="BH55" i="14"/>
  <c r="BM55" i="14"/>
  <c r="AN55" i="14"/>
  <c r="AY55" i="14"/>
  <c r="BI55" i="14"/>
  <c r="AI55" i="14"/>
  <c r="BD55" i="14"/>
  <c r="AJ55" i="14"/>
  <c r="BE55" i="14"/>
  <c r="AE55" i="14"/>
  <c r="AO55" i="14"/>
  <c r="AZ55" i="14"/>
  <c r="BK55" i="14"/>
  <c r="AS55" i="14"/>
  <c r="AU55" i="14"/>
  <c r="N207" i="12"/>
  <c r="I7" i="12"/>
  <c r="I69" i="12" s="1"/>
  <c r="H69" i="12"/>
  <c r="Q107" i="12"/>
  <c r="AE107" i="12"/>
  <c r="AI107" i="12"/>
  <c r="AM107" i="12"/>
  <c r="AQ107" i="12"/>
  <c r="AU107" i="12"/>
  <c r="AY107" i="12"/>
  <c r="BC107" i="12"/>
  <c r="BG107" i="12"/>
  <c r="BK107" i="12"/>
  <c r="AH107" i="12"/>
  <c r="AN107" i="12"/>
  <c r="AS107" i="12"/>
  <c r="AX107" i="12"/>
  <c r="BD107" i="12"/>
  <c r="BI107" i="12"/>
  <c r="BN107" i="12"/>
  <c r="AJ107" i="12"/>
  <c r="AO107" i="12"/>
  <c r="AT107" i="12"/>
  <c r="AZ107" i="12"/>
  <c r="BE107" i="12"/>
  <c r="BJ107" i="12"/>
  <c r="AL107" i="12"/>
  <c r="AW107" i="12"/>
  <c r="BH107" i="12"/>
  <c r="AK107" i="12"/>
  <c r="BF107" i="12"/>
  <c r="AF107" i="12"/>
  <c r="AP107" i="12"/>
  <c r="BA107" i="12"/>
  <c r="BL107" i="12"/>
  <c r="AG107" i="12"/>
  <c r="AR107" i="12"/>
  <c r="BB107" i="12"/>
  <c r="BM107" i="12"/>
  <c r="AV107" i="12"/>
  <c r="J140" i="12"/>
  <c r="AF140" i="12"/>
  <c r="AJ140" i="12"/>
  <c r="AN140" i="12"/>
  <c r="AR140" i="12"/>
  <c r="AV140" i="12"/>
  <c r="AZ140" i="12"/>
  <c r="BD140" i="12"/>
  <c r="BH140" i="12"/>
  <c r="BL140" i="12"/>
  <c r="AH140" i="12"/>
  <c r="AM140" i="12"/>
  <c r="AS140" i="12"/>
  <c r="AX140" i="12"/>
  <c r="BC140" i="12"/>
  <c r="BI140" i="12"/>
  <c r="BN140" i="12"/>
  <c r="AI140" i="12"/>
  <c r="AO140" i="12"/>
  <c r="AT140" i="12"/>
  <c r="AY140" i="12"/>
  <c r="BE140" i="12"/>
  <c r="BJ140" i="12"/>
  <c r="AL140" i="12"/>
  <c r="AW140" i="12"/>
  <c r="BG140" i="12"/>
  <c r="AQ140" i="12"/>
  <c r="AU140" i="12"/>
  <c r="AE140" i="12"/>
  <c r="AP140" i="12"/>
  <c r="BA140" i="12"/>
  <c r="BK140" i="12"/>
  <c r="AG140" i="12"/>
  <c r="BB140" i="12"/>
  <c r="BM140" i="12"/>
  <c r="AK140" i="12"/>
  <c r="BF140" i="12"/>
  <c r="I52" i="12"/>
  <c r="AH52" i="12"/>
  <c r="AL52" i="12"/>
  <c r="AP52" i="12"/>
  <c r="AT52" i="12"/>
  <c r="AX52" i="12"/>
  <c r="BB52" i="12"/>
  <c r="BF52" i="12"/>
  <c r="BJ52" i="12"/>
  <c r="BN52" i="12"/>
  <c r="AG52" i="12"/>
  <c r="AM52" i="12"/>
  <c r="AR52" i="12"/>
  <c r="AW52" i="12"/>
  <c r="BC52" i="12"/>
  <c r="BH52" i="12"/>
  <c r="BM52" i="12"/>
  <c r="AI52" i="12"/>
  <c r="AO52" i="12"/>
  <c r="AV52" i="12"/>
  <c r="BD52" i="12"/>
  <c r="BK52" i="12"/>
  <c r="AJ52" i="12"/>
  <c r="AQ52" i="12"/>
  <c r="AY52" i="12"/>
  <c r="BE52" i="12"/>
  <c r="BL52" i="12"/>
  <c r="AK52" i="12"/>
  <c r="AZ52" i="12"/>
  <c r="AN52" i="12"/>
  <c r="BA52" i="12"/>
  <c r="AE52" i="12"/>
  <c r="BG52" i="12"/>
  <c r="AF52" i="12"/>
  <c r="BI52" i="12"/>
  <c r="AS52" i="12"/>
  <c r="AU52" i="12"/>
  <c r="H61" i="12"/>
  <c r="AG61" i="12"/>
  <c r="AK61" i="12"/>
  <c r="AO61" i="12"/>
  <c r="AS61" i="12"/>
  <c r="AW61" i="12"/>
  <c r="BA61" i="12"/>
  <c r="BE61" i="12"/>
  <c r="BI61" i="12"/>
  <c r="BM61" i="12"/>
  <c r="AH61" i="12"/>
  <c r="AM61" i="12"/>
  <c r="AR61" i="12"/>
  <c r="AX61" i="12"/>
  <c r="BC61" i="12"/>
  <c r="BH61" i="12"/>
  <c r="BN61" i="12"/>
  <c r="AI61" i="12"/>
  <c r="AN61" i="12"/>
  <c r="AT61" i="12"/>
  <c r="AY61" i="12"/>
  <c r="AE61" i="12"/>
  <c r="AP61" i="12"/>
  <c r="AZ61" i="12"/>
  <c r="BG61" i="12"/>
  <c r="AF61" i="12"/>
  <c r="AQ61" i="12"/>
  <c r="BB61" i="12"/>
  <c r="BJ61" i="12"/>
  <c r="AV61" i="12"/>
  <c r="BL61" i="12"/>
  <c r="AL61" i="12"/>
  <c r="BK61" i="12"/>
  <c r="AJ61" i="12"/>
  <c r="BD61" i="12"/>
  <c r="BF61" i="12"/>
  <c r="AU61" i="12"/>
  <c r="G53" i="12"/>
  <c r="AH53" i="12"/>
  <c r="AL53" i="12"/>
  <c r="AP53" i="12"/>
  <c r="AT53" i="12"/>
  <c r="AX53" i="12"/>
  <c r="BB53" i="12"/>
  <c r="BF53" i="12"/>
  <c r="BJ53" i="12"/>
  <c r="BN53" i="12"/>
  <c r="AG53" i="12"/>
  <c r="AM53" i="12"/>
  <c r="AR53" i="12"/>
  <c r="AW53" i="12"/>
  <c r="BC53" i="12"/>
  <c r="BH53" i="12"/>
  <c r="BM53" i="12"/>
  <c r="AI53" i="12"/>
  <c r="AN53" i="12"/>
  <c r="AS53" i="12"/>
  <c r="AY53" i="12"/>
  <c r="BD53" i="12"/>
  <c r="BI53" i="12"/>
  <c r="AE53" i="12"/>
  <c r="AO53" i="12"/>
  <c r="AZ53" i="12"/>
  <c r="BK53" i="12"/>
  <c r="AF53" i="12"/>
  <c r="AQ53" i="12"/>
  <c r="BA53" i="12"/>
  <c r="BL53" i="12"/>
  <c r="AU53" i="12"/>
  <c r="AK53" i="12"/>
  <c r="AV53" i="12"/>
  <c r="AJ53" i="12"/>
  <c r="BE53" i="12"/>
  <c r="BG53" i="12"/>
  <c r="H57" i="12"/>
  <c r="AG57" i="12"/>
  <c r="AK57" i="12"/>
  <c r="AO57" i="12"/>
  <c r="AS57" i="12"/>
  <c r="AW57" i="12"/>
  <c r="BA57" i="12"/>
  <c r="BE57" i="12"/>
  <c r="BI57" i="12"/>
  <c r="BM57" i="12"/>
  <c r="AE57" i="12"/>
  <c r="AJ57" i="12"/>
  <c r="AP57" i="12"/>
  <c r="AU57" i="12"/>
  <c r="AZ57" i="12"/>
  <c r="BF57" i="12"/>
  <c r="BK57" i="12"/>
  <c r="AF57" i="12"/>
  <c r="AL57" i="12"/>
  <c r="AQ57" i="12"/>
  <c r="AV57" i="12"/>
  <c r="BB57" i="12"/>
  <c r="BG57" i="12"/>
  <c r="BL57" i="12"/>
  <c r="AM57" i="12"/>
  <c r="AX57" i="12"/>
  <c r="BH57" i="12"/>
  <c r="AN57" i="12"/>
  <c r="AY57" i="12"/>
  <c r="BJ57" i="12"/>
  <c r="AI57" i="12"/>
  <c r="BD57" i="12"/>
  <c r="BC57" i="12"/>
  <c r="AR57" i="12"/>
  <c r="BN57" i="12"/>
  <c r="AT57" i="12"/>
  <c r="AH57" i="12"/>
  <c r="K148" i="12"/>
  <c r="AF148" i="12"/>
  <c r="AJ148" i="12"/>
  <c r="AN148" i="12"/>
  <c r="AR148" i="12"/>
  <c r="AV148" i="12"/>
  <c r="AZ148" i="12"/>
  <c r="BD148" i="12"/>
  <c r="BH148" i="12"/>
  <c r="AH148" i="12"/>
  <c r="AM148" i="12"/>
  <c r="AS148" i="12"/>
  <c r="AX148" i="12"/>
  <c r="BC148" i="12"/>
  <c r="BI148" i="12"/>
  <c r="BM148" i="12"/>
  <c r="AI148" i="12"/>
  <c r="AP148" i="12"/>
  <c r="AW148" i="12"/>
  <c r="BE148" i="12"/>
  <c r="BK148" i="12"/>
  <c r="AL148" i="12"/>
  <c r="BA148" i="12"/>
  <c r="BN148" i="12"/>
  <c r="AK148" i="12"/>
  <c r="AQ148" i="12"/>
  <c r="AY148" i="12"/>
  <c r="BF148" i="12"/>
  <c r="BL148" i="12"/>
  <c r="AE148" i="12"/>
  <c r="AT148" i="12"/>
  <c r="BG148" i="12"/>
  <c r="AG148" i="12"/>
  <c r="AO148" i="12"/>
  <c r="AU148" i="12"/>
  <c r="BB148" i="12"/>
  <c r="BJ148" i="12"/>
  <c r="J65" i="12"/>
  <c r="AG65" i="12"/>
  <c r="AK65" i="12"/>
  <c r="AO65" i="12"/>
  <c r="AS65" i="12"/>
  <c r="AW65" i="12"/>
  <c r="BA65" i="12"/>
  <c r="BE65" i="12"/>
  <c r="BI65" i="12"/>
  <c r="BM65" i="12"/>
  <c r="AF65" i="12"/>
  <c r="AL65" i="12"/>
  <c r="AQ65" i="12"/>
  <c r="AV65" i="12"/>
  <c r="BB65" i="12"/>
  <c r="BG65" i="12"/>
  <c r="BL65" i="12"/>
  <c r="AJ65" i="12"/>
  <c r="AR65" i="12"/>
  <c r="AY65" i="12"/>
  <c r="BF65" i="12"/>
  <c r="BN65" i="12"/>
  <c r="AE65" i="12"/>
  <c r="AM65" i="12"/>
  <c r="AT65" i="12"/>
  <c r="AZ65" i="12"/>
  <c r="BH65" i="12"/>
  <c r="AP65" i="12"/>
  <c r="BD65" i="12"/>
  <c r="AI65" i="12"/>
  <c r="BK65" i="12"/>
  <c r="AN65" i="12"/>
  <c r="AH65" i="12"/>
  <c r="AU65" i="12"/>
  <c r="BJ65" i="12"/>
  <c r="AX65" i="12"/>
  <c r="BC65" i="12"/>
  <c r="AD128" i="12"/>
  <c r="AF128" i="12"/>
  <c r="AJ128" i="12"/>
  <c r="AN128" i="12"/>
  <c r="AR128" i="12"/>
  <c r="AV128" i="12"/>
  <c r="AZ128" i="12"/>
  <c r="BD128" i="12"/>
  <c r="BH128" i="12"/>
  <c r="BL128" i="12"/>
  <c r="AE128" i="12"/>
  <c r="AK128" i="12"/>
  <c r="AP128" i="12"/>
  <c r="AU128" i="12"/>
  <c r="BA128" i="12"/>
  <c r="BF128" i="12"/>
  <c r="BK128" i="12"/>
  <c r="AG128" i="12"/>
  <c r="AL128" i="12"/>
  <c r="AQ128" i="12"/>
  <c r="AW128" i="12"/>
  <c r="BB128" i="12"/>
  <c r="BG128" i="12"/>
  <c r="BM128" i="12"/>
  <c r="AI128" i="12"/>
  <c r="AT128" i="12"/>
  <c r="BE128" i="12"/>
  <c r="AY128" i="12"/>
  <c r="AH128" i="12"/>
  <c r="BC128" i="12"/>
  <c r="AM128" i="12"/>
  <c r="AX128" i="12"/>
  <c r="BI128" i="12"/>
  <c r="AO128" i="12"/>
  <c r="BJ128" i="12"/>
  <c r="AS128" i="12"/>
  <c r="BN128" i="12"/>
  <c r="G56" i="14"/>
  <c r="E94" i="26"/>
  <c r="H49" i="9"/>
  <c r="BL49" i="9"/>
  <c r="BD49" i="9"/>
  <c r="BH49" i="9"/>
  <c r="AH49" i="9"/>
  <c r="AL49" i="9"/>
  <c r="AP49" i="9"/>
  <c r="AT49" i="9"/>
  <c r="AX49" i="9"/>
  <c r="BB49" i="9"/>
  <c r="BK49" i="9"/>
  <c r="BG49" i="9"/>
  <c r="AK49" i="9"/>
  <c r="AW49" i="9"/>
  <c r="BM49" i="9"/>
  <c r="BE49" i="9"/>
  <c r="BI49" i="9"/>
  <c r="AE49" i="9"/>
  <c r="AI49" i="9"/>
  <c r="AM49" i="9"/>
  <c r="AQ49" i="9"/>
  <c r="AU49" i="9"/>
  <c r="AY49" i="9"/>
  <c r="BC49" i="9"/>
  <c r="AO49" i="9"/>
  <c r="BA49" i="9"/>
  <c r="BJ49" i="9"/>
  <c r="BN49" i="9"/>
  <c r="BF49" i="9"/>
  <c r="AF49" i="9"/>
  <c r="AJ49" i="9"/>
  <c r="AN49" i="9"/>
  <c r="AR49" i="9"/>
  <c r="AV49" i="9"/>
  <c r="AZ49" i="9"/>
  <c r="AG49" i="9"/>
  <c r="AS49" i="9"/>
  <c r="H14" i="9"/>
  <c r="H13" i="9" s="1"/>
  <c r="H34" i="9" s="1"/>
  <c r="H18" i="12" s="1"/>
  <c r="BJ14" i="9"/>
  <c r="BN14" i="9"/>
  <c r="BG14" i="9"/>
  <c r="AH14" i="9"/>
  <c r="AL14" i="9"/>
  <c r="AP14" i="9"/>
  <c r="AT14" i="9"/>
  <c r="AX14" i="9"/>
  <c r="BB14" i="9"/>
  <c r="BM14" i="9"/>
  <c r="AO14" i="9"/>
  <c r="BA14" i="9"/>
  <c r="BK14" i="9"/>
  <c r="BD14" i="9"/>
  <c r="BH14" i="9"/>
  <c r="AE14" i="9"/>
  <c r="AI14" i="9"/>
  <c r="AM14" i="9"/>
  <c r="AQ14" i="9"/>
  <c r="AU14" i="9"/>
  <c r="AY14" i="9"/>
  <c r="BC14" i="9"/>
  <c r="AK14" i="9"/>
  <c r="AW14" i="9"/>
  <c r="BL14" i="9"/>
  <c r="BE14" i="9"/>
  <c r="BI14" i="9"/>
  <c r="AF14" i="9"/>
  <c r="AJ14" i="9"/>
  <c r="AN14" i="9"/>
  <c r="AR14" i="9"/>
  <c r="AV14" i="9"/>
  <c r="AZ14" i="9"/>
  <c r="BF14" i="9"/>
  <c r="AG14" i="9"/>
  <c r="AS14" i="9"/>
  <c r="BL57" i="9"/>
  <c r="BF57" i="9"/>
  <c r="AG57" i="9"/>
  <c r="AK57" i="9"/>
  <c r="AO57" i="9"/>
  <c r="AS57" i="9"/>
  <c r="AW57" i="9"/>
  <c r="BA57" i="9"/>
  <c r="BI57" i="9"/>
  <c r="AJ57" i="9"/>
  <c r="AV57" i="9"/>
  <c r="BM57" i="9"/>
  <c r="BG57" i="9"/>
  <c r="AH57" i="9"/>
  <c r="AL57" i="9"/>
  <c r="AP57" i="9"/>
  <c r="AT57" i="9"/>
  <c r="AX57" i="9"/>
  <c r="BB57" i="9"/>
  <c r="BK57" i="9"/>
  <c r="BE57" i="9"/>
  <c r="AF57" i="9"/>
  <c r="AR57" i="9"/>
  <c r="BJ57" i="9"/>
  <c r="BN57" i="9"/>
  <c r="BD57" i="9"/>
  <c r="BH57" i="9"/>
  <c r="AE57" i="9"/>
  <c r="AI57" i="9"/>
  <c r="AM57" i="9"/>
  <c r="AQ57" i="9"/>
  <c r="AU57" i="9"/>
  <c r="AY57" i="9"/>
  <c r="BC57" i="9"/>
  <c r="AN57" i="9"/>
  <c r="AZ57" i="9"/>
  <c r="H24" i="9"/>
  <c r="H23" i="9" s="1"/>
  <c r="BM24" i="9"/>
  <c r="BG24" i="9"/>
  <c r="AF24" i="9"/>
  <c r="AJ24" i="9"/>
  <c r="AN24" i="9"/>
  <c r="AR24" i="9"/>
  <c r="AV24" i="9"/>
  <c r="AZ24" i="9"/>
  <c r="AM24" i="9"/>
  <c r="AY24" i="9"/>
  <c r="BJ24" i="9"/>
  <c r="BN24" i="9"/>
  <c r="BD24" i="9"/>
  <c r="BH24" i="9"/>
  <c r="AG24" i="9"/>
  <c r="AK24" i="9"/>
  <c r="AO24" i="9"/>
  <c r="AS24" i="9"/>
  <c r="AW24" i="9"/>
  <c r="BA24" i="9"/>
  <c r="AI24" i="9"/>
  <c r="AU24" i="9"/>
  <c r="BK24" i="9"/>
  <c r="BE24" i="9"/>
  <c r="BI24" i="9"/>
  <c r="AH24" i="9"/>
  <c r="AL24" i="9"/>
  <c r="AP24" i="9"/>
  <c r="AT24" i="9"/>
  <c r="AX24" i="9"/>
  <c r="BB24" i="9"/>
  <c r="BL24" i="9"/>
  <c r="BF24" i="9"/>
  <c r="AE24" i="9"/>
  <c r="AQ24" i="9"/>
  <c r="BC24" i="9"/>
  <c r="G70" i="26"/>
  <c r="H6" i="26"/>
  <c r="H5" i="26" s="1"/>
  <c r="J7" i="26"/>
  <c r="I4" i="26"/>
  <c r="I5" i="26"/>
  <c r="I48" i="26"/>
  <c r="M48" i="26"/>
  <c r="Q48" i="26"/>
  <c r="U48" i="26"/>
  <c r="Y48" i="26"/>
  <c r="AC48" i="26"/>
  <c r="J48" i="26"/>
  <c r="N48" i="26"/>
  <c r="R48" i="26"/>
  <c r="V48" i="26"/>
  <c r="Z48" i="26"/>
  <c r="AD48" i="26"/>
  <c r="G48" i="26"/>
  <c r="K48" i="26"/>
  <c r="O48" i="26"/>
  <c r="S48" i="26"/>
  <c r="W48" i="26"/>
  <c r="AA48" i="26"/>
  <c r="H48" i="26"/>
  <c r="L48" i="26"/>
  <c r="P48" i="26"/>
  <c r="T48" i="26"/>
  <c r="X48" i="26"/>
  <c r="H109" i="26"/>
  <c r="L109" i="26"/>
  <c r="P109" i="26"/>
  <c r="T109" i="26"/>
  <c r="X109" i="26"/>
  <c r="AB109" i="26"/>
  <c r="I109" i="26"/>
  <c r="M109" i="26"/>
  <c r="Q109" i="26"/>
  <c r="U109" i="26"/>
  <c r="Y109" i="26"/>
  <c r="AC109" i="26"/>
  <c r="Z74" i="14"/>
  <c r="K74" i="14"/>
  <c r="J74" i="14"/>
  <c r="AA74" i="14"/>
  <c r="R73" i="14"/>
  <c r="AC56" i="14"/>
  <c r="W56" i="14"/>
  <c r="R56" i="14"/>
  <c r="M56" i="14"/>
  <c r="AA56" i="14"/>
  <c r="V56" i="14"/>
  <c r="Q56" i="14"/>
  <c r="K56" i="14"/>
  <c r="Q73" i="14"/>
  <c r="Z56" i="14"/>
  <c r="U56" i="14"/>
  <c r="O56" i="14"/>
  <c r="J56" i="14"/>
  <c r="S74" i="14"/>
  <c r="Z73" i="14"/>
  <c r="J73" i="14"/>
  <c r="AD56" i="14"/>
  <c r="Y56" i="14"/>
  <c r="S56" i="14"/>
  <c r="N56" i="14"/>
  <c r="I56" i="14"/>
  <c r="R74" i="14"/>
  <c r="Y73" i="14"/>
  <c r="K55" i="14"/>
  <c r="O55" i="14"/>
  <c r="S55" i="14"/>
  <c r="W55" i="14"/>
  <c r="AA55" i="14"/>
  <c r="AB55" i="14"/>
  <c r="Q55" i="14"/>
  <c r="Z55" i="14"/>
  <c r="P55" i="14"/>
  <c r="G73" i="14"/>
  <c r="K73" i="14"/>
  <c r="O73" i="14"/>
  <c r="S73" i="14"/>
  <c r="W73" i="14"/>
  <c r="AA73" i="14"/>
  <c r="L73" i="14"/>
  <c r="T73" i="14"/>
  <c r="AB73" i="14"/>
  <c r="H73" i="14"/>
  <c r="P73" i="14"/>
  <c r="X73" i="14"/>
  <c r="AD55" i="14"/>
  <c r="Y55" i="14"/>
  <c r="T55" i="14"/>
  <c r="N55" i="14"/>
  <c r="I55" i="14"/>
  <c r="W74" i="14"/>
  <c r="AD73" i="14"/>
  <c r="V73" i="14"/>
  <c r="N73" i="14"/>
  <c r="V55" i="14"/>
  <c r="L55" i="14"/>
  <c r="U55" i="14"/>
  <c r="J55" i="14"/>
  <c r="G74" i="14"/>
  <c r="H74" i="14"/>
  <c r="L74" i="14"/>
  <c r="P74" i="14"/>
  <c r="T74" i="14"/>
  <c r="X74" i="14"/>
  <c r="AB74" i="14"/>
  <c r="M74" i="14"/>
  <c r="U74" i="14"/>
  <c r="AC74" i="14"/>
  <c r="I74" i="14"/>
  <c r="Q74" i="14"/>
  <c r="Y74" i="14"/>
  <c r="AC55" i="14"/>
  <c r="X55" i="14"/>
  <c r="R55" i="14"/>
  <c r="M55" i="14"/>
  <c r="H55" i="14"/>
  <c r="AD74" i="14"/>
  <c r="V74" i="14"/>
  <c r="N74" i="14"/>
  <c r="AC73" i="14"/>
  <c r="U73" i="14"/>
  <c r="M73" i="14"/>
  <c r="AB56" i="14"/>
  <c r="X56" i="14"/>
  <c r="T56" i="14"/>
  <c r="P56" i="14"/>
  <c r="L56" i="14"/>
  <c r="H56" i="14"/>
  <c r="G54" i="9"/>
  <c r="G56" i="9" s="1"/>
  <c r="H6" i="14"/>
  <c r="H5" i="14" s="1"/>
  <c r="I7" i="14"/>
  <c r="O207" i="12"/>
  <c r="Q207" i="12"/>
  <c r="P207" i="12"/>
  <c r="AD189" i="12"/>
  <c r="W189" i="12"/>
  <c r="I189" i="12"/>
  <c r="AC148" i="12"/>
  <c r="M189" i="12"/>
  <c r="V189" i="12"/>
  <c r="Y148" i="12"/>
  <c r="L189" i="12"/>
  <c r="AA189" i="12"/>
  <c r="S189" i="12"/>
  <c r="H189" i="12"/>
  <c r="J189" i="12"/>
  <c r="Z189" i="12"/>
  <c r="R189" i="12"/>
  <c r="AC207" i="12"/>
  <c r="Y207" i="12"/>
  <c r="K207" i="12"/>
  <c r="K189" i="12"/>
  <c r="U207" i="12"/>
  <c r="X207" i="12"/>
  <c r="AB207" i="12"/>
  <c r="T207" i="12"/>
  <c r="U148" i="12"/>
  <c r="Y140" i="12"/>
  <c r="G189" i="12"/>
  <c r="AA148" i="12"/>
  <c r="W148" i="12"/>
  <c r="S148" i="12"/>
  <c r="AA140" i="12"/>
  <c r="W140" i="12"/>
  <c r="S140" i="12"/>
  <c r="U140" i="12"/>
  <c r="G187" i="12"/>
  <c r="AD148" i="12"/>
  <c r="Z148" i="12"/>
  <c r="V148" i="12"/>
  <c r="R148" i="12"/>
  <c r="AD140" i="12"/>
  <c r="Z140" i="12"/>
  <c r="V140" i="12"/>
  <c r="R140" i="12"/>
  <c r="AC140" i="12"/>
  <c r="AB148" i="12"/>
  <c r="X148" i="12"/>
  <c r="T148" i="12"/>
  <c r="AB140" i="12"/>
  <c r="X140" i="12"/>
  <c r="T140" i="12"/>
  <c r="P148" i="12"/>
  <c r="O148" i="12"/>
  <c r="P140" i="12"/>
  <c r="O140" i="12"/>
  <c r="N148" i="12"/>
  <c r="N140" i="12"/>
  <c r="Q148" i="12"/>
  <c r="Q140" i="12"/>
  <c r="G202" i="12"/>
  <c r="G208" i="12" s="1"/>
  <c r="M148" i="12"/>
  <c r="L148" i="12"/>
  <c r="M140" i="12"/>
  <c r="L140" i="12"/>
  <c r="J148" i="12"/>
  <c r="I140" i="12"/>
  <c r="G140" i="12"/>
  <c r="I148" i="12"/>
  <c r="H140" i="12"/>
  <c r="K140" i="12"/>
  <c r="H148" i="12"/>
  <c r="G35" i="9"/>
  <c r="G19" i="12" s="1"/>
  <c r="G91" i="12" s="1"/>
  <c r="G93" i="12" s="1"/>
  <c r="V128" i="12"/>
  <c r="K128" i="12"/>
  <c r="N128" i="12"/>
  <c r="R128" i="12"/>
  <c r="O128" i="12"/>
  <c r="S128" i="12"/>
  <c r="W128" i="12"/>
  <c r="AA128" i="12"/>
  <c r="H128" i="12"/>
  <c r="L128" i="12"/>
  <c r="P128" i="12"/>
  <c r="T128" i="12"/>
  <c r="X128" i="12"/>
  <c r="AB128" i="12"/>
  <c r="I128" i="12"/>
  <c r="M128" i="12"/>
  <c r="Q128" i="12"/>
  <c r="U128" i="12"/>
  <c r="Y128" i="12"/>
  <c r="AC128" i="12"/>
  <c r="J128" i="12"/>
  <c r="G128" i="12"/>
  <c r="Z128" i="12"/>
  <c r="Z107" i="12"/>
  <c r="G34" i="9"/>
  <c r="G18" i="12" s="1"/>
  <c r="R107" i="12"/>
  <c r="K107" i="12"/>
  <c r="O107" i="12"/>
  <c r="S107" i="12"/>
  <c r="W107" i="12"/>
  <c r="AA107" i="12"/>
  <c r="G107" i="12"/>
  <c r="M107" i="12"/>
  <c r="H107" i="12"/>
  <c r="L107" i="12"/>
  <c r="P107" i="12"/>
  <c r="T107" i="12"/>
  <c r="X107" i="12"/>
  <c r="AB107" i="12"/>
  <c r="I107" i="12"/>
  <c r="AD107" i="12"/>
  <c r="V107" i="12"/>
  <c r="N107" i="12"/>
  <c r="Y107" i="12"/>
  <c r="AC107" i="12"/>
  <c r="U107" i="12"/>
  <c r="J107" i="12"/>
  <c r="U65" i="12"/>
  <c r="G52" i="12"/>
  <c r="J52" i="12"/>
  <c r="Z52" i="12"/>
  <c r="T52" i="12"/>
  <c r="O52" i="12"/>
  <c r="V57" i="12"/>
  <c r="AC57" i="12"/>
  <c r="AD52" i="12"/>
  <c r="S52" i="12"/>
  <c r="H52" i="12"/>
  <c r="AA57" i="12"/>
  <c r="Q57" i="12"/>
  <c r="AB52" i="12"/>
  <c r="W52" i="12"/>
  <c r="R52" i="12"/>
  <c r="L52" i="12"/>
  <c r="K57" i="12"/>
  <c r="R57" i="12"/>
  <c r="X52" i="12"/>
  <c r="N52" i="12"/>
  <c r="W57" i="12"/>
  <c r="M57" i="12"/>
  <c r="G57" i="12"/>
  <c r="G58" i="12" s="1"/>
  <c r="AA52" i="12"/>
  <c r="V52" i="12"/>
  <c r="P52" i="12"/>
  <c r="K52" i="12"/>
  <c r="L61" i="12"/>
  <c r="G61" i="12"/>
  <c r="Q65" i="12"/>
  <c r="Z57" i="12"/>
  <c r="U57" i="12"/>
  <c r="O57" i="12"/>
  <c r="J57" i="12"/>
  <c r="AB61" i="12"/>
  <c r="AC65" i="12"/>
  <c r="M65" i="12"/>
  <c r="AD57" i="12"/>
  <c r="Y57" i="12"/>
  <c r="S57" i="12"/>
  <c r="N57" i="12"/>
  <c r="I57" i="12"/>
  <c r="P61" i="12"/>
  <c r="Y65" i="12"/>
  <c r="I65" i="12"/>
  <c r="AC52" i="12"/>
  <c r="Y52" i="12"/>
  <c r="U52" i="12"/>
  <c r="Q52" i="12"/>
  <c r="M52" i="12"/>
  <c r="X61" i="12"/>
  <c r="I53" i="12"/>
  <c r="E54" i="12"/>
  <c r="I61" i="12"/>
  <c r="M61" i="12"/>
  <c r="Q61" i="12"/>
  <c r="U61" i="12"/>
  <c r="Y61" i="12"/>
  <c r="AC61" i="12"/>
  <c r="J61" i="12"/>
  <c r="N61" i="12"/>
  <c r="R61" i="12"/>
  <c r="V61" i="12"/>
  <c r="Z61" i="12"/>
  <c r="AD61" i="12"/>
  <c r="O61" i="12"/>
  <c r="W61" i="12"/>
  <c r="K61" i="12"/>
  <c r="S61" i="12"/>
  <c r="AA61" i="12"/>
  <c r="T61" i="12"/>
  <c r="X65" i="12"/>
  <c r="P65" i="12"/>
  <c r="AB65" i="12"/>
  <c r="T65" i="12"/>
  <c r="L65" i="12"/>
  <c r="H65" i="12"/>
  <c r="G65" i="12"/>
  <c r="AA65" i="12"/>
  <c r="W65" i="12"/>
  <c r="S65" i="12"/>
  <c r="O65" i="12"/>
  <c r="K65" i="12"/>
  <c r="AB57" i="12"/>
  <c r="X57" i="12"/>
  <c r="T57" i="12"/>
  <c r="P57" i="12"/>
  <c r="L57" i="12"/>
  <c r="AD65" i="12"/>
  <c r="Z65" i="12"/>
  <c r="V65" i="12"/>
  <c r="R65" i="12"/>
  <c r="N65" i="12"/>
  <c r="X53" i="12"/>
  <c r="P53" i="12"/>
  <c r="H53" i="12"/>
  <c r="AA53" i="12"/>
  <c r="S53" i="12"/>
  <c r="K53" i="12"/>
  <c r="AD53" i="12"/>
  <c r="Z53" i="12"/>
  <c r="V53" i="12"/>
  <c r="R53" i="12"/>
  <c r="N53" i="12"/>
  <c r="J53" i="12"/>
  <c r="AB53" i="12"/>
  <c r="T53" i="12"/>
  <c r="L53" i="12"/>
  <c r="W53" i="12"/>
  <c r="O53" i="12"/>
  <c r="AC53" i="12"/>
  <c r="Y53" i="12"/>
  <c r="U53" i="12"/>
  <c r="Q53" i="12"/>
  <c r="M53" i="12"/>
  <c r="H6" i="12"/>
  <c r="I6" i="12"/>
  <c r="H57" i="9"/>
  <c r="K57" i="9"/>
  <c r="S57" i="9"/>
  <c r="AA57" i="9"/>
  <c r="N57" i="9"/>
  <c r="V57" i="9"/>
  <c r="AD57" i="9"/>
  <c r="O57" i="9"/>
  <c r="W57" i="9"/>
  <c r="Z57" i="9"/>
  <c r="R57" i="9"/>
  <c r="J57" i="9"/>
  <c r="AC57" i="9"/>
  <c r="Y57" i="9"/>
  <c r="U57" i="9"/>
  <c r="Q57" i="9"/>
  <c r="M57" i="9"/>
  <c r="I57" i="9"/>
  <c r="AB57" i="9"/>
  <c r="X57" i="9"/>
  <c r="T57" i="9"/>
  <c r="P57" i="9"/>
  <c r="L57" i="9"/>
  <c r="X24" i="9"/>
  <c r="P24" i="9"/>
  <c r="L24" i="9"/>
  <c r="AB24" i="9"/>
  <c r="S28" i="9"/>
  <c r="S30" i="9"/>
  <c r="S55" i="9" s="1"/>
  <c r="T24" i="9"/>
  <c r="AD14" i="9"/>
  <c r="Z14" i="9"/>
  <c r="V14" i="9"/>
  <c r="R14" i="9"/>
  <c r="N14" i="9"/>
  <c r="J14" i="9"/>
  <c r="AC14" i="9"/>
  <c r="Y14" i="9"/>
  <c r="U14" i="9"/>
  <c r="Q14" i="9"/>
  <c r="M14" i="9"/>
  <c r="I14" i="9"/>
  <c r="AA24" i="9"/>
  <c r="W24" i="9"/>
  <c r="S24" i="9"/>
  <c r="O24" i="9"/>
  <c r="K24" i="9"/>
  <c r="AB14" i="9"/>
  <c r="X14" i="9"/>
  <c r="T14" i="9"/>
  <c r="P14" i="9"/>
  <c r="L14" i="9"/>
  <c r="AD24" i="9"/>
  <c r="Z24" i="9"/>
  <c r="V24" i="9"/>
  <c r="R24" i="9"/>
  <c r="N24" i="9"/>
  <c r="J24" i="9"/>
  <c r="AA14" i="9"/>
  <c r="W14" i="9"/>
  <c r="S14" i="9"/>
  <c r="O14" i="9"/>
  <c r="K14" i="9"/>
  <c r="AC24" i="9"/>
  <c r="Y24" i="9"/>
  <c r="U24" i="9"/>
  <c r="Q24" i="9"/>
  <c r="M24" i="9"/>
  <c r="I24" i="9"/>
  <c r="G57" i="9"/>
  <c r="G49" i="9"/>
  <c r="AA49" i="9"/>
  <c r="W49" i="9"/>
  <c r="S49" i="9"/>
  <c r="O49" i="9"/>
  <c r="K49" i="9"/>
  <c r="AD49" i="9"/>
  <c r="Z49" i="9"/>
  <c r="V49" i="9"/>
  <c r="R49" i="9"/>
  <c r="N49" i="9"/>
  <c r="J49" i="9"/>
  <c r="AC49" i="9"/>
  <c r="Y49" i="9"/>
  <c r="U49" i="9"/>
  <c r="Q49" i="9"/>
  <c r="M49" i="9"/>
  <c r="I49" i="9"/>
  <c r="AB49" i="9"/>
  <c r="X49" i="9"/>
  <c r="T49" i="9"/>
  <c r="P49" i="9"/>
  <c r="L49" i="9"/>
  <c r="G29" i="9"/>
  <c r="G18" i="9"/>
  <c r="G19" i="9" s="1"/>
  <c r="AS57" i="14" l="1"/>
  <c r="AS59" i="14"/>
  <c r="AS61" i="14" s="1"/>
  <c r="AI59" i="14"/>
  <c r="AI61" i="14" s="1"/>
  <c r="AI57" i="14"/>
  <c r="BM59" i="14"/>
  <c r="BM61" i="14" s="1"/>
  <c r="BM57" i="14"/>
  <c r="BG59" i="14"/>
  <c r="BG61" i="14" s="1"/>
  <c r="BG57" i="14"/>
  <c r="AK59" i="14"/>
  <c r="AK61" i="14" s="1"/>
  <c r="AK57" i="14"/>
  <c r="BF57" i="14"/>
  <c r="BF59" i="14"/>
  <c r="BF61" i="14" s="1"/>
  <c r="AP57" i="14"/>
  <c r="AP59" i="14"/>
  <c r="AP61" i="14" s="1"/>
  <c r="BK59" i="14"/>
  <c r="BK61" i="14" s="1"/>
  <c r="BK57" i="14"/>
  <c r="BE59" i="14"/>
  <c r="BE61" i="14" s="1"/>
  <c r="BE57" i="14"/>
  <c r="BI57" i="14"/>
  <c r="BI59" i="14"/>
  <c r="BI61" i="14" s="1"/>
  <c r="BH59" i="14"/>
  <c r="BH61" i="14" s="1"/>
  <c r="BH57" i="14"/>
  <c r="AM59" i="14"/>
  <c r="AM61" i="14" s="1"/>
  <c r="AM57" i="14"/>
  <c r="BA59" i="14"/>
  <c r="BA61" i="14" s="1"/>
  <c r="BA57" i="14"/>
  <c r="AF59" i="14"/>
  <c r="AF61" i="14" s="1"/>
  <c r="AF57" i="14"/>
  <c r="BB57" i="14"/>
  <c r="BB59" i="14"/>
  <c r="BB61" i="14" s="1"/>
  <c r="AL57" i="14"/>
  <c r="AL59" i="14"/>
  <c r="AL61" i="14" s="1"/>
  <c r="AE59" i="14"/>
  <c r="AE61" i="14" s="1"/>
  <c r="AE57" i="14"/>
  <c r="AR59" i="14"/>
  <c r="AR61" i="14" s="1"/>
  <c r="AR57" i="14"/>
  <c r="AZ59" i="14"/>
  <c r="AZ61" i="14" s="1"/>
  <c r="AZ57" i="14"/>
  <c r="AJ59" i="14"/>
  <c r="AJ61" i="14" s="1"/>
  <c r="AJ57" i="14"/>
  <c r="AY59" i="14"/>
  <c r="AY61" i="14" s="1"/>
  <c r="AY57" i="14"/>
  <c r="BC59" i="14"/>
  <c r="BC61" i="14" s="1"/>
  <c r="BC57" i="14"/>
  <c r="AG59" i="14"/>
  <c r="AG61" i="14" s="1"/>
  <c r="AG57" i="14"/>
  <c r="AV59" i="14"/>
  <c r="AV61" i="14" s="1"/>
  <c r="AV57" i="14"/>
  <c r="BN57" i="14"/>
  <c r="BN59" i="14"/>
  <c r="BN61" i="14" s="1"/>
  <c r="AX57" i="14"/>
  <c r="AX59" i="14"/>
  <c r="AX61" i="14" s="1"/>
  <c r="AH57" i="14"/>
  <c r="AH59" i="14"/>
  <c r="AH61" i="14" s="1"/>
  <c r="AU59" i="14"/>
  <c r="AU61" i="14" s="1"/>
  <c r="AU57" i="14"/>
  <c r="AO59" i="14"/>
  <c r="AO61" i="14" s="1"/>
  <c r="AO57" i="14"/>
  <c r="BD59" i="14"/>
  <c r="BD61" i="14" s="1"/>
  <c r="BD57" i="14"/>
  <c r="AN59" i="14"/>
  <c r="AN61" i="14" s="1"/>
  <c r="AN57" i="14"/>
  <c r="AW57" i="14"/>
  <c r="AW59" i="14"/>
  <c r="AW61" i="14" s="1"/>
  <c r="BL59" i="14"/>
  <c r="BL61" i="14" s="1"/>
  <c r="BL57" i="14"/>
  <c r="AQ59" i="14"/>
  <c r="AQ61" i="14" s="1"/>
  <c r="AQ57" i="14"/>
  <c r="BJ57" i="14"/>
  <c r="BJ59" i="14"/>
  <c r="BJ61" i="14" s="1"/>
  <c r="AT57" i="14"/>
  <c r="AT59" i="14"/>
  <c r="AT61" i="14" s="1"/>
  <c r="H88" i="12"/>
  <c r="H92" i="12"/>
  <c r="I92" i="12" s="1"/>
  <c r="H87" i="12"/>
  <c r="H89" i="12" s="1"/>
  <c r="G87" i="12"/>
  <c r="G89" i="12" s="1"/>
  <c r="G95" i="12" s="1"/>
  <c r="G20" i="12"/>
  <c r="I88" i="12"/>
  <c r="J7" i="12"/>
  <c r="J69" i="12" s="1"/>
  <c r="H152" i="12"/>
  <c r="I152" i="12" s="1"/>
  <c r="H41" i="12"/>
  <c r="I41" i="12" s="1"/>
  <c r="BK54" i="12"/>
  <c r="BK74" i="12"/>
  <c r="AI54" i="12"/>
  <c r="AI74" i="12"/>
  <c r="AW74" i="12"/>
  <c r="AW54" i="12"/>
  <c r="BN54" i="12"/>
  <c r="BN74" i="12"/>
  <c r="AX54" i="12"/>
  <c r="AX74" i="12"/>
  <c r="AH54" i="12"/>
  <c r="AH74" i="12"/>
  <c r="BG54" i="12"/>
  <c r="BG74" i="12"/>
  <c r="AY54" i="12"/>
  <c r="AY74" i="12"/>
  <c r="BD54" i="12"/>
  <c r="BD74" i="12"/>
  <c r="AR74" i="12"/>
  <c r="AR54" i="12"/>
  <c r="BJ54" i="12"/>
  <c r="BJ74" i="12"/>
  <c r="AT54" i="12"/>
  <c r="AT74" i="12"/>
  <c r="AS54" i="12"/>
  <c r="AS74" i="12"/>
  <c r="AE54" i="12"/>
  <c r="AE74" i="12"/>
  <c r="AK54" i="12"/>
  <c r="AK74" i="12"/>
  <c r="AQ54" i="12"/>
  <c r="AQ74" i="12"/>
  <c r="AV54" i="12"/>
  <c r="AV74" i="12"/>
  <c r="BH74" i="12"/>
  <c r="BH54" i="12"/>
  <c r="AM54" i="12"/>
  <c r="AM74" i="12"/>
  <c r="BF54" i="12"/>
  <c r="BF74" i="12"/>
  <c r="AP54" i="12"/>
  <c r="AP74" i="12"/>
  <c r="AF74" i="12"/>
  <c r="AF54" i="12"/>
  <c r="AN74" i="12"/>
  <c r="AN54" i="12"/>
  <c r="BE54" i="12"/>
  <c r="BE74" i="12"/>
  <c r="AU54" i="12"/>
  <c r="AU74" i="12"/>
  <c r="AZ54" i="12"/>
  <c r="AZ74" i="12"/>
  <c r="BM54" i="12"/>
  <c r="BM74" i="12"/>
  <c r="BI74" i="12"/>
  <c r="BI54" i="12"/>
  <c r="BA74" i="12"/>
  <c r="BA54" i="12"/>
  <c r="BL54" i="12"/>
  <c r="BL74" i="12"/>
  <c r="AJ54" i="12"/>
  <c r="AJ74" i="12"/>
  <c r="AO54" i="12"/>
  <c r="AO74" i="12"/>
  <c r="BC54" i="12"/>
  <c r="BC74" i="12"/>
  <c r="AG74" i="12"/>
  <c r="AG54" i="12"/>
  <c r="BB54" i="12"/>
  <c r="BB74" i="12"/>
  <c r="AL54" i="12"/>
  <c r="AL74" i="12"/>
  <c r="H4" i="26"/>
  <c r="G58" i="9"/>
  <c r="G69" i="9" s="1"/>
  <c r="K7" i="26"/>
  <c r="J6" i="26"/>
  <c r="G33" i="14"/>
  <c r="H35" i="9"/>
  <c r="H54" i="9"/>
  <c r="H56" i="9" s="1"/>
  <c r="H58" i="9" s="1"/>
  <c r="G40" i="9"/>
  <c r="G48" i="9"/>
  <c r="G50" i="9" s="1"/>
  <c r="G31" i="14"/>
  <c r="H4" i="14"/>
  <c r="I6" i="14"/>
  <c r="J7" i="14"/>
  <c r="G36" i="9"/>
  <c r="G14" i="26" s="1"/>
  <c r="W74" i="12"/>
  <c r="J74" i="12"/>
  <c r="Q74" i="12"/>
  <c r="P74" i="12"/>
  <c r="I74" i="12"/>
  <c r="V74" i="12"/>
  <c r="S74" i="12"/>
  <c r="G74" i="12"/>
  <c r="Y74" i="12"/>
  <c r="AA74" i="12"/>
  <c r="N74" i="12"/>
  <c r="L74" i="12"/>
  <c r="AD74" i="12"/>
  <c r="T74" i="12"/>
  <c r="H74" i="12"/>
  <c r="U74" i="12"/>
  <c r="AB74" i="12"/>
  <c r="O74" i="12"/>
  <c r="M74" i="12"/>
  <c r="AC74" i="12"/>
  <c r="K74" i="12"/>
  <c r="X74" i="12"/>
  <c r="R74" i="12"/>
  <c r="Z74" i="12"/>
  <c r="H56" i="12"/>
  <c r="G54" i="12"/>
  <c r="L54" i="12"/>
  <c r="AA54" i="12"/>
  <c r="K54" i="12"/>
  <c r="U54" i="12"/>
  <c r="W54" i="12"/>
  <c r="Q54" i="12"/>
  <c r="P54" i="12"/>
  <c r="AD54" i="12"/>
  <c r="T54" i="12"/>
  <c r="S54" i="12"/>
  <c r="J54" i="12"/>
  <c r="H54" i="12"/>
  <c r="X54" i="12"/>
  <c r="N54" i="12"/>
  <c r="I54" i="12"/>
  <c r="Y54" i="12"/>
  <c r="R54" i="12"/>
  <c r="AB54" i="12"/>
  <c r="V54" i="12"/>
  <c r="M54" i="12"/>
  <c r="AC54" i="12"/>
  <c r="Z54" i="12"/>
  <c r="O54" i="12"/>
  <c r="I4" i="12"/>
  <c r="I5" i="12"/>
  <c r="H4" i="12"/>
  <c r="H5" i="12"/>
  <c r="I13" i="9"/>
  <c r="I23" i="9"/>
  <c r="T30" i="9"/>
  <c r="T55" i="9" s="1"/>
  <c r="T28" i="9"/>
  <c r="G41" i="9"/>
  <c r="H26" i="9"/>
  <c r="H16" i="9"/>
  <c r="H18" i="9" s="1"/>
  <c r="H27" i="9"/>
  <c r="H17" i="9"/>
  <c r="H36" i="9" l="1"/>
  <c r="H14" i="26" s="1"/>
  <c r="H15" i="26" s="1"/>
  <c r="H19" i="12"/>
  <c r="K7" i="12"/>
  <c r="K69" i="12" s="1"/>
  <c r="J6" i="12"/>
  <c r="J88" i="12" s="1"/>
  <c r="G63" i="9"/>
  <c r="G47" i="14"/>
  <c r="G43" i="14" s="1"/>
  <c r="H47" i="14"/>
  <c r="H43" i="14" s="1"/>
  <c r="J5" i="26"/>
  <c r="J4" i="26"/>
  <c r="L7" i="26"/>
  <c r="K6" i="26"/>
  <c r="G14" i="14"/>
  <c r="G23" i="14" s="1"/>
  <c r="G35" i="14"/>
  <c r="G42" i="9"/>
  <c r="I35" i="9"/>
  <c r="I19" i="12" s="1"/>
  <c r="I91" i="12" s="1"/>
  <c r="I93" i="12" s="1"/>
  <c r="I54" i="9"/>
  <c r="I56" i="9" s="1"/>
  <c r="I58" i="9" s="1"/>
  <c r="G111" i="12"/>
  <c r="G39" i="26" s="1"/>
  <c r="I5" i="14"/>
  <c r="I4" i="14"/>
  <c r="K7" i="14"/>
  <c r="J6" i="14"/>
  <c r="J13" i="9"/>
  <c r="J17" i="9" s="1"/>
  <c r="I34" i="9"/>
  <c r="I18" i="12" s="1"/>
  <c r="I56" i="12"/>
  <c r="I75" i="12" s="1"/>
  <c r="H75" i="12"/>
  <c r="H58" i="12"/>
  <c r="H69" i="9"/>
  <c r="G62" i="9"/>
  <c r="G68" i="9"/>
  <c r="J23" i="9"/>
  <c r="J35" i="9" s="1"/>
  <c r="J19" i="12" s="1"/>
  <c r="J91" i="12" s="1"/>
  <c r="U30" i="9"/>
  <c r="U55" i="9" s="1"/>
  <c r="U28" i="9"/>
  <c r="H29" i="9"/>
  <c r="I27" i="9"/>
  <c r="H19" i="9"/>
  <c r="I17" i="9"/>
  <c r="J152" i="12" l="1"/>
  <c r="K6" i="12"/>
  <c r="K88" i="12" s="1"/>
  <c r="J93" i="12"/>
  <c r="L7" i="12"/>
  <c r="L69" i="12" s="1"/>
  <c r="J92" i="12"/>
  <c r="K92" i="12"/>
  <c r="H91" i="12"/>
  <c r="H93" i="12" s="1"/>
  <c r="H95" i="12" s="1"/>
  <c r="H20" i="12"/>
  <c r="H21" i="12" s="1"/>
  <c r="I87" i="12"/>
  <c r="I89" i="12" s="1"/>
  <c r="I95" i="12" s="1"/>
  <c r="I20" i="12"/>
  <c r="J4" i="12"/>
  <c r="J41" i="12"/>
  <c r="K41" i="12" s="1"/>
  <c r="J5" i="12"/>
  <c r="G64" i="9"/>
  <c r="G20" i="26" s="1"/>
  <c r="G11" i="12"/>
  <c r="G60" i="12" s="1"/>
  <c r="G76" i="12" s="1"/>
  <c r="G11" i="26"/>
  <c r="K5" i="26"/>
  <c r="K4" i="26"/>
  <c r="M7" i="26"/>
  <c r="L6" i="26"/>
  <c r="G70" i="14"/>
  <c r="H14" i="14"/>
  <c r="H15" i="14" s="1"/>
  <c r="G52" i="14"/>
  <c r="G57" i="14"/>
  <c r="G75" i="14"/>
  <c r="I36" i="9"/>
  <c r="I26" i="9"/>
  <c r="I29" i="9" s="1"/>
  <c r="I33" i="14" s="1"/>
  <c r="H33" i="14"/>
  <c r="G70" i="9"/>
  <c r="G11" i="14"/>
  <c r="H40" i="9"/>
  <c r="H31" i="14"/>
  <c r="J5" i="14"/>
  <c r="J4" i="14"/>
  <c r="L7" i="14"/>
  <c r="K6" i="14"/>
  <c r="K152" i="12"/>
  <c r="K13" i="9"/>
  <c r="J34" i="9"/>
  <c r="J56" i="12"/>
  <c r="J75" i="12" s="1"/>
  <c r="I58" i="12"/>
  <c r="L6" i="12"/>
  <c r="K5" i="12"/>
  <c r="K4" i="12"/>
  <c r="I69" i="9"/>
  <c r="J54" i="9"/>
  <c r="J56" i="9" s="1"/>
  <c r="J58" i="9" s="1"/>
  <c r="K23" i="9"/>
  <c r="K35" i="9" s="1"/>
  <c r="K19" i="12" s="1"/>
  <c r="K91" i="12" s="1"/>
  <c r="K93" i="12" s="1"/>
  <c r="V30" i="9"/>
  <c r="V55" i="9" s="1"/>
  <c r="V28" i="9"/>
  <c r="H41" i="9"/>
  <c r="H63" i="9"/>
  <c r="I16" i="9"/>
  <c r="I18" i="9" s="1"/>
  <c r="H48" i="9"/>
  <c r="H50" i="9" s="1"/>
  <c r="J27" i="9"/>
  <c r="G64" i="14" l="1"/>
  <c r="L92" i="12"/>
  <c r="M7" i="12"/>
  <c r="M69" i="12" s="1"/>
  <c r="H111" i="12"/>
  <c r="H39" i="26" s="1"/>
  <c r="G75" i="9"/>
  <c r="J47" i="14"/>
  <c r="J43" i="14" s="1"/>
  <c r="J18" i="12"/>
  <c r="L88" i="12"/>
  <c r="G26" i="12"/>
  <c r="L41" i="12"/>
  <c r="I47" i="14"/>
  <c r="I43" i="14" s="1"/>
  <c r="G62" i="12"/>
  <c r="I111" i="12"/>
  <c r="I39" i="26" s="1"/>
  <c r="I14" i="26"/>
  <c r="G72" i="9"/>
  <c r="G17" i="26" s="1"/>
  <c r="G29" i="26"/>
  <c r="N7" i="26"/>
  <c r="M6" i="26"/>
  <c r="L5" i="26"/>
  <c r="L4" i="26"/>
  <c r="H23" i="14"/>
  <c r="H24" i="14" s="1"/>
  <c r="J36" i="9"/>
  <c r="J14" i="26" s="1"/>
  <c r="G60" i="14"/>
  <c r="I14" i="14"/>
  <c r="I23" i="14" s="1"/>
  <c r="I70" i="14" s="1"/>
  <c r="I78" i="14" s="1"/>
  <c r="G35" i="12"/>
  <c r="G82" i="12" s="1"/>
  <c r="G110" i="12" s="1"/>
  <c r="G38" i="26" s="1"/>
  <c r="H42" i="9"/>
  <c r="G74" i="9"/>
  <c r="G76" i="9" s="1"/>
  <c r="H32" i="14"/>
  <c r="H35" i="14"/>
  <c r="H75" i="14" s="1"/>
  <c r="H52" i="14"/>
  <c r="H34" i="14"/>
  <c r="I34" i="14"/>
  <c r="G20" i="14"/>
  <c r="G51" i="14"/>
  <c r="G17" i="14"/>
  <c r="K5" i="14"/>
  <c r="K4" i="14"/>
  <c r="M7" i="14"/>
  <c r="L6" i="14"/>
  <c r="L152" i="12"/>
  <c r="L13" i="9"/>
  <c r="K34" i="9"/>
  <c r="K56" i="12"/>
  <c r="K75" i="12" s="1"/>
  <c r="N7" i="12"/>
  <c r="N69" i="12" s="1"/>
  <c r="M6" i="12"/>
  <c r="M92" i="12" s="1"/>
  <c r="L5" i="12"/>
  <c r="L4" i="12"/>
  <c r="J58" i="12"/>
  <c r="L23" i="9"/>
  <c r="J69" i="9"/>
  <c r="H62" i="9"/>
  <c r="H64" i="9" s="1"/>
  <c r="H20" i="26" s="1"/>
  <c r="H21" i="26" s="1"/>
  <c r="H68" i="9"/>
  <c r="K54" i="9"/>
  <c r="K56" i="9" s="1"/>
  <c r="K58" i="9" s="1"/>
  <c r="W30" i="9"/>
  <c r="W55" i="9" s="1"/>
  <c r="W28" i="9"/>
  <c r="J26" i="9"/>
  <c r="J29" i="9" s="1"/>
  <c r="J33" i="14" s="1"/>
  <c r="J34" i="14" s="1"/>
  <c r="I41" i="9"/>
  <c r="I63" i="9"/>
  <c r="I19" i="9"/>
  <c r="K27" i="9"/>
  <c r="K17" i="9"/>
  <c r="G63" i="14" l="1"/>
  <c r="H60" i="14"/>
  <c r="H64" i="14"/>
  <c r="J87" i="12"/>
  <c r="J89" i="12" s="1"/>
  <c r="J95" i="12" s="1"/>
  <c r="J20" i="12"/>
  <c r="J21" i="12" s="1"/>
  <c r="K47" i="14"/>
  <c r="K43" i="14" s="1"/>
  <c r="K18" i="12"/>
  <c r="M88" i="12"/>
  <c r="M41" i="12"/>
  <c r="G106" i="12"/>
  <c r="G113" i="12" s="1"/>
  <c r="G41" i="26" s="1"/>
  <c r="G40" i="12"/>
  <c r="G43" i="12" s="1"/>
  <c r="H70" i="14"/>
  <c r="H78" i="14" s="1"/>
  <c r="I21" i="12"/>
  <c r="H11" i="12"/>
  <c r="H60" i="12" s="1"/>
  <c r="H76" i="12" s="1"/>
  <c r="H11" i="26"/>
  <c r="J15" i="26"/>
  <c r="I15" i="26"/>
  <c r="G23" i="12"/>
  <c r="G77" i="9"/>
  <c r="G23" i="26"/>
  <c r="G65" i="26" s="1"/>
  <c r="M5" i="26"/>
  <c r="M4" i="26"/>
  <c r="O7" i="26"/>
  <c r="N6" i="26"/>
  <c r="I15" i="14"/>
  <c r="I52" i="14"/>
  <c r="I64" i="14" s="1"/>
  <c r="K36" i="9"/>
  <c r="J14" i="14"/>
  <c r="J52" i="14" s="1"/>
  <c r="G59" i="14"/>
  <c r="G61" i="14" s="1"/>
  <c r="G53" i="14"/>
  <c r="G65" i="14" s="1"/>
  <c r="H57" i="14"/>
  <c r="G78" i="14"/>
  <c r="I24" i="14"/>
  <c r="G26" i="14"/>
  <c r="G69" i="14"/>
  <c r="G77" i="14" s="1"/>
  <c r="H70" i="9"/>
  <c r="H11" i="14"/>
  <c r="H51" i="14" s="1"/>
  <c r="J16" i="9"/>
  <c r="J18" i="9" s="1"/>
  <c r="I31" i="14"/>
  <c r="G29" i="12"/>
  <c r="G155" i="12" s="1"/>
  <c r="L5" i="14"/>
  <c r="L4" i="14"/>
  <c r="N7" i="14"/>
  <c r="M6" i="14"/>
  <c r="H75" i="9"/>
  <c r="H26" i="12"/>
  <c r="H27" i="12" s="1"/>
  <c r="M152" i="12"/>
  <c r="M23" i="9"/>
  <c r="M35" i="9" s="1"/>
  <c r="M19" i="12" s="1"/>
  <c r="M91" i="12" s="1"/>
  <c r="M93" i="12" s="1"/>
  <c r="L35" i="9"/>
  <c r="L19" i="12" s="1"/>
  <c r="L91" i="12" s="1"/>
  <c r="L93" i="12" s="1"/>
  <c r="M13" i="9"/>
  <c r="L34" i="9"/>
  <c r="L18" i="12" s="1"/>
  <c r="O7" i="12"/>
  <c r="O69" i="12" s="1"/>
  <c r="L56" i="12"/>
  <c r="L75" i="12" s="1"/>
  <c r="N6" i="12"/>
  <c r="N92" i="12" s="1"/>
  <c r="M4" i="12"/>
  <c r="M5" i="12"/>
  <c r="K58" i="12"/>
  <c r="K69" i="9"/>
  <c r="L54" i="9"/>
  <c r="L56" i="9" s="1"/>
  <c r="L58" i="9" s="1"/>
  <c r="L69" i="9" s="1"/>
  <c r="X30" i="9"/>
  <c r="X55" i="9" s="1"/>
  <c r="X28" i="9"/>
  <c r="K26" i="9"/>
  <c r="K29" i="9" s="1"/>
  <c r="K33" i="14" s="1"/>
  <c r="K34" i="14" s="1"/>
  <c r="J41" i="9"/>
  <c r="J63" i="9"/>
  <c r="I48" i="9"/>
  <c r="I50" i="9" s="1"/>
  <c r="I40" i="9"/>
  <c r="I42" i="9" s="1"/>
  <c r="I11" i="26" s="1"/>
  <c r="L27" i="9"/>
  <c r="L17" i="9"/>
  <c r="J60" i="14" l="1"/>
  <c r="J64" i="14"/>
  <c r="H59" i="14"/>
  <c r="H61" i="14" s="1"/>
  <c r="H63" i="14"/>
  <c r="I60" i="14"/>
  <c r="G139" i="12"/>
  <c r="G141" i="12" s="1"/>
  <c r="G58" i="26" s="1"/>
  <c r="G82" i="26" s="1"/>
  <c r="G147" i="12"/>
  <c r="K87" i="12"/>
  <c r="K89" i="12" s="1"/>
  <c r="K95" i="12" s="1"/>
  <c r="K111" i="12" s="1"/>
  <c r="K39" i="26" s="1"/>
  <c r="K20" i="12"/>
  <c r="L87" i="12"/>
  <c r="L89" i="12" s="1"/>
  <c r="L95" i="12" s="1"/>
  <c r="L20" i="12"/>
  <c r="N88" i="12"/>
  <c r="N41" i="12"/>
  <c r="J111" i="12"/>
  <c r="J39" i="26" s="1"/>
  <c r="H62" i="12"/>
  <c r="G173" i="12"/>
  <c r="H12" i="12"/>
  <c r="G64" i="12"/>
  <c r="G77" i="12" s="1"/>
  <c r="G78" i="12" s="1"/>
  <c r="G99" i="12" s="1"/>
  <c r="G100" i="12" s="1"/>
  <c r="G151" i="12"/>
  <c r="G153" i="12" s="1"/>
  <c r="K14" i="26"/>
  <c r="G85" i="26"/>
  <c r="I12" i="26"/>
  <c r="H12" i="26"/>
  <c r="H35" i="12"/>
  <c r="H29" i="26"/>
  <c r="P7" i="26"/>
  <c r="O6" i="26"/>
  <c r="N5" i="26"/>
  <c r="N4" i="26"/>
  <c r="J23" i="14"/>
  <c r="J70" i="14" s="1"/>
  <c r="J78" i="14" s="1"/>
  <c r="J15" i="14"/>
  <c r="L14" i="14"/>
  <c r="L23" i="14" s="1"/>
  <c r="K14" i="14"/>
  <c r="K52" i="14" s="1"/>
  <c r="G71" i="14"/>
  <c r="H74" i="9"/>
  <c r="H76" i="9" s="1"/>
  <c r="G176" i="12"/>
  <c r="J19" i="9"/>
  <c r="J31" i="14" s="1"/>
  <c r="J32" i="14" s="1"/>
  <c r="I32" i="14"/>
  <c r="I35" i="14"/>
  <c r="I75" i="14" s="1"/>
  <c r="G79" i="14"/>
  <c r="H72" i="9"/>
  <c r="I11" i="12"/>
  <c r="I60" i="12" s="1"/>
  <c r="I76" i="12" s="1"/>
  <c r="H20" i="14"/>
  <c r="H69" i="14" s="1"/>
  <c r="H77" i="14" s="1"/>
  <c r="H12" i="14"/>
  <c r="H17" i="14"/>
  <c r="H90" i="14" s="1"/>
  <c r="M5" i="14"/>
  <c r="M4" i="14"/>
  <c r="O7" i="14"/>
  <c r="N6" i="14"/>
  <c r="N152" i="12"/>
  <c r="L36" i="9"/>
  <c r="L14" i="26" s="1"/>
  <c r="N13" i="9"/>
  <c r="M34" i="9"/>
  <c r="O6" i="12"/>
  <c r="O92" i="12" s="1"/>
  <c r="N4" i="12"/>
  <c r="N5" i="12"/>
  <c r="M56" i="12"/>
  <c r="M75" i="12" s="1"/>
  <c r="P7" i="12"/>
  <c r="P69" i="12" s="1"/>
  <c r="L58" i="12"/>
  <c r="I62" i="9"/>
  <c r="I64" i="9" s="1"/>
  <c r="I20" i="26" s="1"/>
  <c r="I21" i="26" s="1"/>
  <c r="I68" i="9"/>
  <c r="N23" i="9"/>
  <c r="N35" i="9" s="1"/>
  <c r="N19" i="12" s="1"/>
  <c r="N91" i="12" s="1"/>
  <c r="N93" i="12" s="1"/>
  <c r="M54" i="9"/>
  <c r="M56" i="9" s="1"/>
  <c r="M58" i="9" s="1"/>
  <c r="Y30" i="9"/>
  <c r="Y55" i="9" s="1"/>
  <c r="Y28" i="9"/>
  <c r="L26" i="9"/>
  <c r="L29" i="9" s="1"/>
  <c r="L33" i="14" s="1"/>
  <c r="K41" i="9"/>
  <c r="K63" i="9"/>
  <c r="M27" i="9"/>
  <c r="M17" i="9"/>
  <c r="K60" i="14" l="1"/>
  <c r="K64" i="14"/>
  <c r="M47" i="14"/>
  <c r="M43" i="14" s="1"/>
  <c r="M18" i="12"/>
  <c r="O88" i="12"/>
  <c r="O41" i="12"/>
  <c r="H40" i="12"/>
  <c r="H43" i="12" s="1"/>
  <c r="H82" i="12"/>
  <c r="H110" i="12" s="1"/>
  <c r="H38" i="26" s="1"/>
  <c r="G66" i="12"/>
  <c r="G175" i="12"/>
  <c r="G64" i="26"/>
  <c r="G84" i="26" s="1"/>
  <c r="G101" i="12"/>
  <c r="G102" i="12" s="1"/>
  <c r="G112" i="12" s="1"/>
  <c r="G40" i="26" s="1"/>
  <c r="G45" i="12"/>
  <c r="G32" i="26"/>
  <c r="G34" i="26" s="1"/>
  <c r="G35" i="26" s="1"/>
  <c r="H106" i="12"/>
  <c r="H113" i="12" s="1"/>
  <c r="H41" i="26" s="1"/>
  <c r="H36" i="12"/>
  <c r="K15" i="14"/>
  <c r="J24" i="14"/>
  <c r="L47" i="14"/>
  <c r="L43" i="14" s="1"/>
  <c r="H23" i="12"/>
  <c r="H147" i="12" s="1"/>
  <c r="H17" i="26"/>
  <c r="L15" i="26"/>
  <c r="K21" i="12"/>
  <c r="H30" i="26"/>
  <c r="K15" i="26"/>
  <c r="H77" i="9"/>
  <c r="H23" i="26"/>
  <c r="H65" i="26" s="1"/>
  <c r="O5" i="26"/>
  <c r="O4" i="26"/>
  <c r="Q7" i="26"/>
  <c r="P6" i="26"/>
  <c r="M36" i="9"/>
  <c r="L15" i="14"/>
  <c r="K23" i="14"/>
  <c r="K70" i="14" s="1"/>
  <c r="K78" i="14" s="1"/>
  <c r="J40" i="9"/>
  <c r="J42" i="9" s="1"/>
  <c r="K16" i="9"/>
  <c r="K18" i="9" s="1"/>
  <c r="J35" i="14"/>
  <c r="J75" i="14" s="1"/>
  <c r="J48" i="9"/>
  <c r="J50" i="9" s="1"/>
  <c r="J62" i="9" s="1"/>
  <c r="J64" i="9" s="1"/>
  <c r="J20" i="26" s="1"/>
  <c r="J21" i="26" s="1"/>
  <c r="I12" i="12"/>
  <c r="L52" i="14"/>
  <c r="L34" i="14"/>
  <c r="H79" i="14"/>
  <c r="I57" i="14"/>
  <c r="L70" i="14"/>
  <c r="L78" i="14" s="1"/>
  <c r="H18" i="14"/>
  <c r="H53" i="14"/>
  <c r="H65" i="14" s="1"/>
  <c r="I62" i="12"/>
  <c r="H21" i="14"/>
  <c r="H26" i="14"/>
  <c r="I70" i="9"/>
  <c r="I11" i="14"/>
  <c r="I51" i="14" s="1"/>
  <c r="H29" i="12"/>
  <c r="N5" i="14"/>
  <c r="N4" i="14"/>
  <c r="P7" i="14"/>
  <c r="O6" i="14"/>
  <c r="I75" i="9"/>
  <c r="I26" i="12"/>
  <c r="I27" i="12" s="1"/>
  <c r="O152" i="12"/>
  <c r="Q7" i="12"/>
  <c r="Q69" i="12" s="1"/>
  <c r="O13" i="9"/>
  <c r="N34" i="9"/>
  <c r="O4" i="12"/>
  <c r="O5" i="12"/>
  <c r="M58" i="12"/>
  <c r="N56" i="12"/>
  <c r="N75" i="12" s="1"/>
  <c r="P6" i="12"/>
  <c r="P92" i="12" s="1"/>
  <c r="M69" i="9"/>
  <c r="N54" i="9"/>
  <c r="N56" i="9" s="1"/>
  <c r="N58" i="9" s="1"/>
  <c r="O23" i="9"/>
  <c r="O35" i="9" s="1"/>
  <c r="O19" i="12" s="1"/>
  <c r="O91" i="12" s="1"/>
  <c r="O93" i="12" s="1"/>
  <c r="Z30" i="9"/>
  <c r="Z55" i="9" s="1"/>
  <c r="Z28" i="9"/>
  <c r="M26" i="9"/>
  <c r="M29" i="9" s="1"/>
  <c r="M33" i="14" s="1"/>
  <c r="M34" i="14" s="1"/>
  <c r="L41" i="9"/>
  <c r="L63" i="9"/>
  <c r="N27" i="9"/>
  <c r="N17" i="9"/>
  <c r="I59" i="14" l="1"/>
  <c r="I61" i="14" s="1"/>
  <c r="I63" i="14"/>
  <c r="L60" i="14"/>
  <c r="L64" i="14"/>
  <c r="N47" i="14"/>
  <c r="N43" i="14" s="1"/>
  <c r="N18" i="12"/>
  <c r="M87" i="12"/>
  <c r="M89" i="12" s="1"/>
  <c r="M95" i="12" s="1"/>
  <c r="M20" i="12"/>
  <c r="P88" i="12"/>
  <c r="P41" i="12"/>
  <c r="G68" i="12"/>
  <c r="G70" i="12" s="1"/>
  <c r="H45" i="12"/>
  <c r="H32" i="26"/>
  <c r="H34" i="26" s="1"/>
  <c r="G46" i="12"/>
  <c r="J68" i="9"/>
  <c r="J70" i="9" s="1"/>
  <c r="H151" i="12"/>
  <c r="H153" i="12" s="1"/>
  <c r="H24" i="12"/>
  <c r="H139" i="12"/>
  <c r="H141" i="12" s="1"/>
  <c r="H64" i="12"/>
  <c r="H77" i="12" s="1"/>
  <c r="H78" i="12" s="1"/>
  <c r="H99" i="12" s="1"/>
  <c r="H100" i="12" s="1"/>
  <c r="H85" i="26"/>
  <c r="J11" i="12"/>
  <c r="J60" i="12" s="1"/>
  <c r="J76" i="12" s="1"/>
  <c r="J11" i="26"/>
  <c r="H18" i="26"/>
  <c r="M111" i="12"/>
  <c r="M39" i="26" s="1"/>
  <c r="M14" i="26"/>
  <c r="I35" i="12"/>
  <c r="I29" i="26"/>
  <c r="P5" i="26"/>
  <c r="P4" i="26"/>
  <c r="R7" i="26"/>
  <c r="Q6" i="26"/>
  <c r="L24" i="14"/>
  <c r="N36" i="9"/>
  <c r="N14" i="26" s="1"/>
  <c r="M14" i="14"/>
  <c r="M52" i="14" s="1"/>
  <c r="K24" i="14"/>
  <c r="K19" i="9"/>
  <c r="L16" i="9" s="1"/>
  <c r="L18" i="9" s="1"/>
  <c r="L19" i="9" s="1"/>
  <c r="L21" i="12"/>
  <c r="L111" i="12"/>
  <c r="L39" i="26" s="1"/>
  <c r="H155" i="12"/>
  <c r="H176" i="12" s="1"/>
  <c r="I72" i="9"/>
  <c r="J57" i="14"/>
  <c r="H27" i="14"/>
  <c r="H71" i="14"/>
  <c r="I74" i="9"/>
  <c r="I76" i="9" s="1"/>
  <c r="I20" i="14"/>
  <c r="I69" i="14" s="1"/>
  <c r="I77" i="14" s="1"/>
  <c r="I12" i="14"/>
  <c r="I17" i="14"/>
  <c r="I90" i="14" s="1"/>
  <c r="O5" i="14"/>
  <c r="O4" i="14"/>
  <c r="Q7" i="14"/>
  <c r="P6" i="14"/>
  <c r="J75" i="9"/>
  <c r="J26" i="12"/>
  <c r="J27" i="12" s="1"/>
  <c r="P152" i="12"/>
  <c r="R7" i="12"/>
  <c r="R69" i="12" s="1"/>
  <c r="Q6" i="12"/>
  <c r="Q92" i="12" s="1"/>
  <c r="P13" i="9"/>
  <c r="O34" i="9"/>
  <c r="P5" i="12"/>
  <c r="N58" i="12"/>
  <c r="O56" i="12"/>
  <c r="O75" i="12" s="1"/>
  <c r="P4" i="12"/>
  <c r="N69" i="9"/>
  <c r="O54" i="9"/>
  <c r="O56" i="9" s="1"/>
  <c r="O58" i="9" s="1"/>
  <c r="P23" i="9"/>
  <c r="P35" i="9" s="1"/>
  <c r="P19" i="12" s="1"/>
  <c r="P91" i="12" s="1"/>
  <c r="P93" i="12" s="1"/>
  <c r="AA30" i="9"/>
  <c r="AA55" i="9" s="1"/>
  <c r="AA28" i="9"/>
  <c r="N26" i="9"/>
  <c r="N29" i="9" s="1"/>
  <c r="N33" i="14" s="1"/>
  <c r="N34" i="14" s="1"/>
  <c r="M41" i="9"/>
  <c r="M63" i="9"/>
  <c r="O27" i="9"/>
  <c r="O17" i="9"/>
  <c r="M60" i="14" l="1"/>
  <c r="M64" i="14"/>
  <c r="O47" i="14"/>
  <c r="O43" i="14" s="1"/>
  <c r="O18" i="12"/>
  <c r="N87" i="12"/>
  <c r="N89" i="12" s="1"/>
  <c r="N95" i="12" s="1"/>
  <c r="N20" i="12"/>
  <c r="N21" i="12" s="1"/>
  <c r="Q88" i="12"/>
  <c r="Q41" i="12"/>
  <c r="I40" i="12"/>
  <c r="I43" i="12" s="1"/>
  <c r="I82" i="12"/>
  <c r="I110" i="12" s="1"/>
  <c r="I38" i="26" s="1"/>
  <c r="G71" i="12"/>
  <c r="H46" i="12"/>
  <c r="N111" i="12"/>
  <c r="N39" i="26" s="1"/>
  <c r="J11" i="14"/>
  <c r="J51" i="14" s="1"/>
  <c r="H173" i="12"/>
  <c r="H58" i="26"/>
  <c r="H82" i="26" s="1"/>
  <c r="H175" i="12"/>
  <c r="H64" i="26"/>
  <c r="H84" i="26" s="1"/>
  <c r="H35" i="26"/>
  <c r="K48" i="9"/>
  <c r="K50" i="9" s="1"/>
  <c r="K68" i="9" s="1"/>
  <c r="M23" i="14"/>
  <c r="M70" i="14" s="1"/>
  <c r="M78" i="14" s="1"/>
  <c r="I106" i="12"/>
  <c r="I113" i="12" s="1"/>
  <c r="I41" i="26" s="1"/>
  <c r="M21" i="12"/>
  <c r="H66" i="12"/>
  <c r="H101" i="12"/>
  <c r="H102" i="12" s="1"/>
  <c r="H112" i="12" s="1"/>
  <c r="H40" i="26" s="1"/>
  <c r="I23" i="12"/>
  <c r="I147" i="12" s="1"/>
  <c r="I17" i="26"/>
  <c r="J12" i="12"/>
  <c r="N15" i="26"/>
  <c r="I36" i="12"/>
  <c r="M15" i="26"/>
  <c r="I77" i="9"/>
  <c r="I23" i="26"/>
  <c r="I65" i="26" s="1"/>
  <c r="J74" i="9"/>
  <c r="J76" i="9" s="1"/>
  <c r="J29" i="26"/>
  <c r="J62" i="12"/>
  <c r="I30" i="26"/>
  <c r="J12" i="26"/>
  <c r="Q5" i="26"/>
  <c r="Q4" i="26"/>
  <c r="S7" i="26"/>
  <c r="R6" i="26"/>
  <c r="M15" i="14"/>
  <c r="N14" i="14"/>
  <c r="N52" i="14" s="1"/>
  <c r="O36" i="9"/>
  <c r="K31" i="14"/>
  <c r="K35" i="14" s="1"/>
  <c r="K57" i="14" s="1"/>
  <c r="J72" i="9"/>
  <c r="K40" i="9"/>
  <c r="K42" i="9" s="1"/>
  <c r="K11" i="26" s="1"/>
  <c r="J35" i="12"/>
  <c r="J82" i="12" s="1"/>
  <c r="J110" i="12" s="1"/>
  <c r="J38" i="26" s="1"/>
  <c r="I79" i="14"/>
  <c r="I18" i="14"/>
  <c r="I53" i="14"/>
  <c r="I65" i="14" s="1"/>
  <c r="I21" i="14"/>
  <c r="I26" i="14"/>
  <c r="L40" i="9"/>
  <c r="L42" i="9" s="1"/>
  <c r="L11" i="26" s="1"/>
  <c r="L31" i="14"/>
  <c r="I29" i="12"/>
  <c r="Q6" i="14"/>
  <c r="R7" i="14"/>
  <c r="P4" i="14"/>
  <c r="P5" i="14"/>
  <c r="Q152" i="12"/>
  <c r="R6" i="12"/>
  <c r="R92" i="12" s="1"/>
  <c r="Q5" i="12"/>
  <c r="S7" i="12"/>
  <c r="S69" i="12" s="1"/>
  <c r="Q4" i="12"/>
  <c r="Q13" i="9"/>
  <c r="P34" i="9"/>
  <c r="O58" i="12"/>
  <c r="P56" i="12"/>
  <c r="P58" i="12" s="1"/>
  <c r="O69" i="9"/>
  <c r="Q23" i="9"/>
  <c r="Q35" i="9" s="1"/>
  <c r="Q19" i="12" s="1"/>
  <c r="Q91" i="12" s="1"/>
  <c r="Q93" i="12" s="1"/>
  <c r="P54" i="9"/>
  <c r="P56" i="9" s="1"/>
  <c r="P58" i="9" s="1"/>
  <c r="AB30" i="9"/>
  <c r="AB55" i="9" s="1"/>
  <c r="AB28" i="9"/>
  <c r="O26" i="9"/>
  <c r="O29" i="9" s="1"/>
  <c r="O33" i="14" s="1"/>
  <c r="O34" i="14" s="1"/>
  <c r="N41" i="9"/>
  <c r="N63" i="9"/>
  <c r="M16" i="9"/>
  <c r="L48" i="9"/>
  <c r="L50" i="9" s="1"/>
  <c r="P27" i="9"/>
  <c r="P17" i="9"/>
  <c r="J59" i="14" l="1"/>
  <c r="J61" i="14" s="1"/>
  <c r="J63" i="14"/>
  <c r="N60" i="14"/>
  <c r="N64" i="14"/>
  <c r="O87" i="12"/>
  <c r="O89" i="12" s="1"/>
  <c r="O95" i="12" s="1"/>
  <c r="O111" i="12" s="1"/>
  <c r="O39" i="26" s="1"/>
  <c r="O20" i="12"/>
  <c r="P47" i="14"/>
  <c r="P43" i="14" s="1"/>
  <c r="P18" i="12"/>
  <c r="R88" i="12"/>
  <c r="R41" i="12"/>
  <c r="G72" i="12"/>
  <c r="G109" i="12" s="1"/>
  <c r="H68" i="12"/>
  <c r="H70" i="12" s="1"/>
  <c r="J106" i="12"/>
  <c r="J113" i="12" s="1"/>
  <c r="J41" i="26" s="1"/>
  <c r="J40" i="12"/>
  <c r="J43" i="12" s="1"/>
  <c r="J20" i="14"/>
  <c r="J69" i="14" s="1"/>
  <c r="J77" i="14" s="1"/>
  <c r="J79" i="14" s="1"/>
  <c r="J17" i="14"/>
  <c r="J90" i="14" s="1"/>
  <c r="J12" i="14"/>
  <c r="K11" i="12"/>
  <c r="K60" i="12" s="1"/>
  <c r="K62" i="9"/>
  <c r="K64" i="9" s="1"/>
  <c r="K20" i="26" s="1"/>
  <c r="K21" i="26" s="1"/>
  <c r="I45" i="12"/>
  <c r="I32" i="26"/>
  <c r="I34" i="26" s="1"/>
  <c r="M24" i="14"/>
  <c r="I151" i="12"/>
  <c r="I153" i="12" s="1"/>
  <c r="I24" i="12"/>
  <c r="I64" i="12"/>
  <c r="I77" i="12" s="1"/>
  <c r="I78" i="12" s="1"/>
  <c r="I99" i="12" s="1"/>
  <c r="I101" i="12" s="1"/>
  <c r="I139" i="12"/>
  <c r="I141" i="12" s="1"/>
  <c r="J23" i="12"/>
  <c r="J17" i="26"/>
  <c r="J30" i="26"/>
  <c r="O14" i="26"/>
  <c r="I18" i="26"/>
  <c r="J77" i="9"/>
  <c r="J23" i="26"/>
  <c r="J65" i="26" s="1"/>
  <c r="L12" i="26"/>
  <c r="K12" i="26"/>
  <c r="I85" i="26"/>
  <c r="R5" i="26"/>
  <c r="R4" i="26"/>
  <c r="T7" i="26"/>
  <c r="S6" i="26"/>
  <c r="N23" i="14"/>
  <c r="N70" i="14" s="1"/>
  <c r="N78" i="14" s="1"/>
  <c r="N15" i="14"/>
  <c r="K32" i="14"/>
  <c r="O14" i="14"/>
  <c r="O23" i="14" s="1"/>
  <c r="O70" i="14" s="1"/>
  <c r="O78" i="14" s="1"/>
  <c r="P36" i="9"/>
  <c r="J36" i="12"/>
  <c r="I155" i="12"/>
  <c r="L35" i="14"/>
  <c r="L57" i="14" s="1"/>
  <c r="L32" i="14"/>
  <c r="K75" i="14"/>
  <c r="I27" i="14"/>
  <c r="I71" i="14"/>
  <c r="L11" i="12"/>
  <c r="K70" i="9"/>
  <c r="K11" i="14"/>
  <c r="K51" i="14" s="1"/>
  <c r="J29" i="12"/>
  <c r="S7" i="14"/>
  <c r="R6" i="14"/>
  <c r="Q5" i="14"/>
  <c r="Q4" i="14"/>
  <c r="R152" i="12"/>
  <c r="R4" i="12"/>
  <c r="S6" i="12"/>
  <c r="S92" i="12" s="1"/>
  <c r="R5" i="12"/>
  <c r="T7" i="12"/>
  <c r="R13" i="9"/>
  <c r="Q34" i="9"/>
  <c r="P75" i="12"/>
  <c r="Q56" i="12"/>
  <c r="Q58" i="12" s="1"/>
  <c r="P69" i="9"/>
  <c r="R23" i="9"/>
  <c r="R35" i="9" s="1"/>
  <c r="R19" i="12" s="1"/>
  <c r="R91" i="12" s="1"/>
  <c r="R93" i="12" s="1"/>
  <c r="Q54" i="9"/>
  <c r="Q56" i="9" s="1"/>
  <c r="Q58" i="9" s="1"/>
  <c r="L62" i="9"/>
  <c r="L64" i="9" s="1"/>
  <c r="L20" i="26" s="1"/>
  <c r="L68" i="9"/>
  <c r="AC30" i="9"/>
  <c r="AC55" i="9" s="1"/>
  <c r="AC28" i="9"/>
  <c r="P26" i="9"/>
  <c r="P29" i="9" s="1"/>
  <c r="P33" i="14" s="1"/>
  <c r="P34" i="14" s="1"/>
  <c r="O63" i="9"/>
  <c r="O41" i="9"/>
  <c r="M18" i="9"/>
  <c r="M19" i="9" s="1"/>
  <c r="Q27" i="9"/>
  <c r="Q17" i="9"/>
  <c r="K59" i="14" l="1"/>
  <c r="K61" i="14" s="1"/>
  <c r="K63" i="14"/>
  <c r="J64" i="12"/>
  <c r="J77" i="12" s="1"/>
  <c r="J78" i="12" s="1"/>
  <c r="J99" i="12" s="1"/>
  <c r="J100" i="12" s="1"/>
  <c r="J147" i="12"/>
  <c r="P87" i="12"/>
  <c r="P89" i="12" s="1"/>
  <c r="P95" i="12" s="1"/>
  <c r="P20" i="12"/>
  <c r="P21" i="12" s="1"/>
  <c r="Q47" i="14"/>
  <c r="Q43" i="14" s="1"/>
  <c r="Q18" i="12"/>
  <c r="S41" i="12"/>
  <c r="S88" i="12"/>
  <c r="G37" i="26"/>
  <c r="G42" i="26" s="1"/>
  <c r="G44" i="26" s="1"/>
  <c r="G45" i="26" s="1"/>
  <c r="G114" i="12"/>
  <c r="G116" i="12" s="1"/>
  <c r="G117" i="12" s="1"/>
  <c r="H71" i="12"/>
  <c r="H72" i="12" s="1"/>
  <c r="H109" i="12" s="1"/>
  <c r="T69" i="12"/>
  <c r="J26" i="14"/>
  <c r="J27" i="14" s="1"/>
  <c r="J21" i="14"/>
  <c r="J53" i="14"/>
  <c r="J65" i="14" s="1"/>
  <c r="J18" i="14"/>
  <c r="K75" i="9"/>
  <c r="L21" i="26"/>
  <c r="K26" i="12"/>
  <c r="K27" i="12" s="1"/>
  <c r="K12" i="12"/>
  <c r="I46" i="12"/>
  <c r="I173" i="12"/>
  <c r="I58" i="26"/>
  <c r="I82" i="26" s="1"/>
  <c r="I175" i="12"/>
  <c r="I64" i="26"/>
  <c r="I84" i="26" s="1"/>
  <c r="I35" i="26"/>
  <c r="J139" i="12"/>
  <c r="J141" i="12" s="1"/>
  <c r="I66" i="12"/>
  <c r="N24" i="14"/>
  <c r="I100" i="12"/>
  <c r="I102" i="12" s="1"/>
  <c r="I112" i="12" s="1"/>
  <c r="I40" i="26" s="1"/>
  <c r="J85" i="26"/>
  <c r="O15" i="26"/>
  <c r="J18" i="26"/>
  <c r="J151" i="12"/>
  <c r="J153" i="12" s="1"/>
  <c r="O21" i="12"/>
  <c r="J24" i="12"/>
  <c r="P14" i="26"/>
  <c r="K74" i="9"/>
  <c r="K29" i="26"/>
  <c r="O52" i="14"/>
  <c r="O64" i="14" s="1"/>
  <c r="S5" i="26"/>
  <c r="S4" i="26"/>
  <c r="U7" i="26"/>
  <c r="T6" i="26"/>
  <c r="O15" i="14"/>
  <c r="P14" i="14"/>
  <c r="P15" i="14" s="1"/>
  <c r="Q36" i="9"/>
  <c r="Q14" i="26" s="1"/>
  <c r="J66" i="12"/>
  <c r="K72" i="9"/>
  <c r="K17" i="26" s="1"/>
  <c r="J155" i="12"/>
  <c r="I176" i="12"/>
  <c r="K35" i="12"/>
  <c r="K82" i="12" s="1"/>
  <c r="K110" i="12" s="1"/>
  <c r="K38" i="26" s="1"/>
  <c r="L75" i="14"/>
  <c r="O24" i="14"/>
  <c r="L70" i="9"/>
  <c r="L11" i="14"/>
  <c r="L51" i="14" s="1"/>
  <c r="K20" i="14"/>
  <c r="K69" i="14" s="1"/>
  <c r="K77" i="14" s="1"/>
  <c r="K12" i="14"/>
  <c r="K17" i="14"/>
  <c r="K90" i="14" s="1"/>
  <c r="L60" i="12"/>
  <c r="L12" i="12"/>
  <c r="M40" i="9"/>
  <c r="M42" i="9" s="1"/>
  <c r="M11" i="26" s="1"/>
  <c r="M31" i="14"/>
  <c r="K76" i="12"/>
  <c r="K62" i="12"/>
  <c r="R5" i="14"/>
  <c r="R4" i="14"/>
  <c r="T7" i="14"/>
  <c r="S6" i="14"/>
  <c r="L75" i="9"/>
  <c r="L26" i="12"/>
  <c r="S152" i="12"/>
  <c r="S4" i="12"/>
  <c r="S5" i="12"/>
  <c r="U7" i="12"/>
  <c r="T6" i="12"/>
  <c r="T41" i="12" s="1"/>
  <c r="S13" i="9"/>
  <c r="R34" i="9"/>
  <c r="Q75" i="12"/>
  <c r="R56" i="12"/>
  <c r="R58" i="12" s="1"/>
  <c r="Q69" i="9"/>
  <c r="R54" i="9"/>
  <c r="R56" i="9" s="1"/>
  <c r="R58" i="9" s="1"/>
  <c r="R69" i="9" s="1"/>
  <c r="S23" i="9"/>
  <c r="AD30" i="9"/>
  <c r="AD55" i="9" s="1"/>
  <c r="AD28" i="9"/>
  <c r="Q26" i="9"/>
  <c r="Q29" i="9" s="1"/>
  <c r="Q33" i="14" s="1"/>
  <c r="Q34" i="14" s="1"/>
  <c r="P41" i="9"/>
  <c r="P63" i="9"/>
  <c r="N16" i="9"/>
  <c r="M48" i="9"/>
  <c r="M50" i="9" s="1"/>
  <c r="R27" i="9"/>
  <c r="R17" i="9"/>
  <c r="L59" i="14" l="1"/>
  <c r="L61" i="14" s="1"/>
  <c r="L63" i="14"/>
  <c r="O60" i="14"/>
  <c r="J101" i="12"/>
  <c r="J102" i="12" s="1"/>
  <c r="J112" i="12" s="1"/>
  <c r="J40" i="26" s="1"/>
  <c r="T92" i="12"/>
  <c r="Q87" i="12"/>
  <c r="Q89" i="12" s="1"/>
  <c r="Q95" i="12" s="1"/>
  <c r="Q111" i="12" s="1"/>
  <c r="Q39" i="26" s="1"/>
  <c r="Q20" i="12"/>
  <c r="R47" i="14"/>
  <c r="R43" i="14" s="1"/>
  <c r="R18" i="12"/>
  <c r="T88" i="12"/>
  <c r="H37" i="26"/>
  <c r="H42" i="26" s="1"/>
  <c r="H44" i="26" s="1"/>
  <c r="H45" i="26" s="1"/>
  <c r="H114" i="12"/>
  <c r="H116" i="12" s="1"/>
  <c r="H124" i="12" s="1"/>
  <c r="G124" i="12"/>
  <c r="G125" i="12" s="1"/>
  <c r="H123" i="12" s="1"/>
  <c r="G127" i="12"/>
  <c r="I68" i="12"/>
  <c r="I70" i="12" s="1"/>
  <c r="J68" i="12"/>
  <c r="J70" i="12" s="1"/>
  <c r="K36" i="12"/>
  <c r="K40" i="12"/>
  <c r="K43" i="12" s="1"/>
  <c r="J71" i="14"/>
  <c r="L27" i="12"/>
  <c r="K76" i="9"/>
  <c r="K23" i="26" s="1"/>
  <c r="K65" i="26" s="1"/>
  <c r="K85" i="26" s="1"/>
  <c r="S35" i="9"/>
  <c r="AE28" i="9"/>
  <c r="AE30" i="9"/>
  <c r="AE55" i="9" s="1"/>
  <c r="J45" i="12"/>
  <c r="J32" i="26"/>
  <c r="J34" i="26" s="1"/>
  <c r="J35" i="26" s="1"/>
  <c r="J175" i="12"/>
  <c r="J64" i="26"/>
  <c r="J84" i="26" s="1"/>
  <c r="J173" i="12"/>
  <c r="J58" i="26"/>
  <c r="J82" i="26" s="1"/>
  <c r="P52" i="14"/>
  <c r="K23" i="12"/>
  <c r="P111" i="12"/>
  <c r="P39" i="26" s="1"/>
  <c r="K18" i="26"/>
  <c r="Q15" i="26"/>
  <c r="P15" i="26"/>
  <c r="M12" i="26"/>
  <c r="L74" i="9"/>
  <c r="L76" i="9" s="1"/>
  <c r="L23" i="26" s="1"/>
  <c r="L29" i="26"/>
  <c r="K30" i="26"/>
  <c r="T5" i="26"/>
  <c r="T4" i="26"/>
  <c r="V7" i="26"/>
  <c r="U6" i="26"/>
  <c r="P23" i="14"/>
  <c r="P70" i="14" s="1"/>
  <c r="P78" i="14" s="1"/>
  <c r="R14" i="14"/>
  <c r="R36" i="9"/>
  <c r="Q14" i="14"/>
  <c r="Q23" i="14" s="1"/>
  <c r="Q70" i="14" s="1"/>
  <c r="Q78" i="14" s="1"/>
  <c r="L72" i="9"/>
  <c r="L35" i="12"/>
  <c r="K106" i="12"/>
  <c r="K113" i="12" s="1"/>
  <c r="K41" i="26" s="1"/>
  <c r="J176" i="12"/>
  <c r="M32" i="14"/>
  <c r="M35" i="14"/>
  <c r="M75" i="14" s="1"/>
  <c r="K79" i="14"/>
  <c r="K18" i="14"/>
  <c r="K53" i="14"/>
  <c r="K65" i="14" s="1"/>
  <c r="M11" i="12"/>
  <c r="K21" i="14"/>
  <c r="K26" i="14"/>
  <c r="L76" i="12"/>
  <c r="L62" i="12"/>
  <c r="L20" i="14"/>
  <c r="L69" i="14" s="1"/>
  <c r="L77" i="14" s="1"/>
  <c r="L12" i="14"/>
  <c r="L17" i="14"/>
  <c r="L90" i="14" s="1"/>
  <c r="U7" i="14"/>
  <c r="T6" i="14"/>
  <c r="S5" i="14"/>
  <c r="S4" i="14"/>
  <c r="U6" i="12"/>
  <c r="T152" i="12"/>
  <c r="T5" i="12"/>
  <c r="V7" i="12"/>
  <c r="T4" i="12"/>
  <c r="T13" i="9"/>
  <c r="S34" i="9"/>
  <c r="R75" i="12"/>
  <c r="S56" i="12"/>
  <c r="S58" i="12" s="1"/>
  <c r="M62" i="9"/>
  <c r="M64" i="9" s="1"/>
  <c r="M20" i="26" s="1"/>
  <c r="M21" i="26" s="1"/>
  <c r="M68" i="9"/>
  <c r="S54" i="9"/>
  <c r="S56" i="9" s="1"/>
  <c r="S58" i="9" s="1"/>
  <c r="T23" i="9"/>
  <c r="R26" i="9"/>
  <c r="R29" i="9" s="1"/>
  <c r="Q41" i="9"/>
  <c r="Q63" i="9"/>
  <c r="N18" i="9"/>
  <c r="N19" i="9" s="1"/>
  <c r="S27" i="9"/>
  <c r="S17" i="9"/>
  <c r="P60" i="14" l="1"/>
  <c r="P64" i="14"/>
  <c r="K139" i="12"/>
  <c r="K141" i="12" s="1"/>
  <c r="K147" i="12"/>
  <c r="U92" i="12"/>
  <c r="R87" i="12"/>
  <c r="R89" i="12" s="1"/>
  <c r="R95" i="12" s="1"/>
  <c r="R20" i="12"/>
  <c r="S18" i="12"/>
  <c r="S19" i="12"/>
  <c r="S91" i="12" s="1"/>
  <c r="S93" i="12" s="1"/>
  <c r="U88" i="12"/>
  <c r="L40" i="12"/>
  <c r="L43" i="12" s="1"/>
  <c r="L82" i="12"/>
  <c r="L110" i="12" s="1"/>
  <c r="L38" i="26" s="1"/>
  <c r="U69" i="12"/>
  <c r="I71" i="12"/>
  <c r="I72" i="12" s="1"/>
  <c r="I109" i="12" s="1"/>
  <c r="V69" i="12"/>
  <c r="J71" i="12"/>
  <c r="J72" i="12" s="1"/>
  <c r="J109" i="12" s="1"/>
  <c r="H125" i="12"/>
  <c r="I123" i="12" s="1"/>
  <c r="H117" i="12"/>
  <c r="H127" i="12"/>
  <c r="G129" i="12"/>
  <c r="G131" i="12" s="1"/>
  <c r="G47" i="26"/>
  <c r="G49" i="26" s="1"/>
  <c r="G51" i="26" s="1"/>
  <c r="U41" i="12"/>
  <c r="K77" i="9"/>
  <c r="L77" i="9" s="1"/>
  <c r="L65" i="26"/>
  <c r="L85" i="26" s="1"/>
  <c r="K29" i="12"/>
  <c r="K155" i="12" s="1"/>
  <c r="K176" i="12" s="1"/>
  <c r="J46" i="12"/>
  <c r="Q21" i="12"/>
  <c r="T35" i="9"/>
  <c r="T19" i="12" s="1"/>
  <c r="T91" i="12" s="1"/>
  <c r="T93" i="12" s="1"/>
  <c r="AF28" i="9"/>
  <c r="AF30" i="9"/>
  <c r="AF55" i="9" s="1"/>
  <c r="K173" i="12"/>
  <c r="K58" i="26"/>
  <c r="K82" i="26" s="1"/>
  <c r="P24" i="14"/>
  <c r="K64" i="12"/>
  <c r="K77" i="12" s="1"/>
  <c r="K78" i="12" s="1"/>
  <c r="K99" i="12" s="1"/>
  <c r="K100" i="12" s="1"/>
  <c r="K151" i="12"/>
  <c r="K153" i="12" s="1"/>
  <c r="K24" i="12"/>
  <c r="L23" i="12"/>
  <c r="L17" i="26"/>
  <c r="R21" i="12"/>
  <c r="R14" i="26"/>
  <c r="L30" i="26"/>
  <c r="W7" i="26"/>
  <c r="V6" i="26"/>
  <c r="U5" i="26"/>
  <c r="U4" i="26"/>
  <c r="L106" i="12"/>
  <c r="L113" i="12" s="1"/>
  <c r="L41" i="26" s="1"/>
  <c r="R23" i="14"/>
  <c r="Q15" i="14"/>
  <c r="R15" i="14"/>
  <c r="Q52" i="14"/>
  <c r="Q64" i="14" s="1"/>
  <c r="S36" i="9"/>
  <c r="R33" i="14"/>
  <c r="L36" i="12"/>
  <c r="L79" i="14"/>
  <c r="M57" i="14"/>
  <c r="K27" i="14"/>
  <c r="K71" i="14"/>
  <c r="L18" i="14"/>
  <c r="L53" i="14"/>
  <c r="L65" i="14" s="1"/>
  <c r="M70" i="9"/>
  <c r="M11" i="14"/>
  <c r="M51" i="14" s="1"/>
  <c r="N40" i="9"/>
  <c r="N42" i="9" s="1"/>
  <c r="N11" i="26" s="1"/>
  <c r="N31" i="14"/>
  <c r="L21" i="14"/>
  <c r="L26" i="14"/>
  <c r="M60" i="12"/>
  <c r="M12" i="12"/>
  <c r="Q24" i="14"/>
  <c r="L29" i="12"/>
  <c r="T5" i="14"/>
  <c r="T4" i="14"/>
  <c r="V7" i="14"/>
  <c r="U6" i="14"/>
  <c r="W7" i="12"/>
  <c r="X7" i="12" s="1"/>
  <c r="U152" i="12"/>
  <c r="U5" i="12"/>
  <c r="U4" i="12"/>
  <c r="M75" i="9"/>
  <c r="M26" i="12"/>
  <c r="M27" i="12" s="1"/>
  <c r="V6" i="12"/>
  <c r="U13" i="9"/>
  <c r="T34" i="9"/>
  <c r="S75" i="12"/>
  <c r="T56" i="12"/>
  <c r="S69" i="9"/>
  <c r="T54" i="9"/>
  <c r="T56" i="9" s="1"/>
  <c r="T58" i="9" s="1"/>
  <c r="U23" i="9"/>
  <c r="R41" i="9"/>
  <c r="R63" i="9"/>
  <c r="O16" i="9"/>
  <c r="N48" i="9"/>
  <c r="N50" i="9" s="1"/>
  <c r="S26" i="9"/>
  <c r="S29" i="9" s="1"/>
  <c r="S33" i="14" s="1"/>
  <c r="T27" i="9"/>
  <c r="T17" i="9"/>
  <c r="M59" i="14" l="1"/>
  <c r="M61" i="14" s="1"/>
  <c r="M63" i="14"/>
  <c r="Q60" i="14"/>
  <c r="S47" i="14"/>
  <c r="S43" i="14" s="1"/>
  <c r="L24" i="12"/>
  <c r="L147" i="12"/>
  <c r="V92" i="12"/>
  <c r="S87" i="12"/>
  <c r="S89" i="12" s="1"/>
  <c r="S95" i="12" s="1"/>
  <c r="S111" i="12" s="1"/>
  <c r="S39" i="26" s="1"/>
  <c r="S20" i="12"/>
  <c r="T18" i="12"/>
  <c r="V88" i="12"/>
  <c r="J37" i="26"/>
  <c r="J42" i="26" s="1"/>
  <c r="J44" i="26" s="1"/>
  <c r="J45" i="26" s="1"/>
  <c r="J114" i="12"/>
  <c r="J116" i="12" s="1"/>
  <c r="I37" i="26"/>
  <c r="I42" i="26" s="1"/>
  <c r="I44" i="26" s="1"/>
  <c r="I45" i="26" s="1"/>
  <c r="I114" i="12"/>
  <c r="I116" i="12" s="1"/>
  <c r="I117" i="12" s="1"/>
  <c r="G81" i="26"/>
  <c r="G71" i="26"/>
  <c r="G172" i="12"/>
  <c r="G162" i="12"/>
  <c r="H129" i="12"/>
  <c r="H131" i="12" s="1"/>
  <c r="H172" i="12" s="1"/>
  <c r="H47" i="26"/>
  <c r="H49" i="26" s="1"/>
  <c r="H51" i="26" s="1"/>
  <c r="H81" i="26" s="1"/>
  <c r="V41" i="12"/>
  <c r="L155" i="12"/>
  <c r="L176" i="12" s="1"/>
  <c r="T69" i="9"/>
  <c r="T14" i="14" s="1"/>
  <c r="T23" i="14" s="1"/>
  <c r="U35" i="9"/>
  <c r="U19" i="12" s="1"/>
  <c r="U91" i="12" s="1"/>
  <c r="U93" i="12" s="1"/>
  <c r="AG28" i="9"/>
  <c r="AG30" i="9"/>
  <c r="AG55" i="9" s="1"/>
  <c r="K101" i="12"/>
  <c r="K102" i="12" s="1"/>
  <c r="K112" i="12" s="1"/>
  <c r="K40" i="26" s="1"/>
  <c r="K45" i="12"/>
  <c r="K32" i="26"/>
  <c r="K34" i="26" s="1"/>
  <c r="K35" i="26" s="1"/>
  <c r="L45" i="12"/>
  <c r="L32" i="26"/>
  <c r="L34" i="26" s="1"/>
  <c r="K175" i="12"/>
  <c r="K64" i="26"/>
  <c r="K84" i="26" s="1"/>
  <c r="K66" i="12"/>
  <c r="R111" i="12"/>
  <c r="R39" i="26" s="1"/>
  <c r="L64" i="12"/>
  <c r="L77" i="12" s="1"/>
  <c r="L78" i="12" s="1"/>
  <c r="L99" i="12" s="1"/>
  <c r="L101" i="12" s="1"/>
  <c r="L139" i="12"/>
  <c r="L141" i="12" s="1"/>
  <c r="L151" i="12"/>
  <c r="L153" i="12" s="1"/>
  <c r="M72" i="9"/>
  <c r="M17" i="26" s="1"/>
  <c r="M29" i="26"/>
  <c r="S14" i="26"/>
  <c r="R15" i="26"/>
  <c r="L18" i="26"/>
  <c r="N12" i="26"/>
  <c r="V5" i="26"/>
  <c r="V4" i="26"/>
  <c r="X7" i="26"/>
  <c r="W6" i="26"/>
  <c r="R24" i="14"/>
  <c r="R52" i="14"/>
  <c r="R70" i="14"/>
  <c r="R78" i="14" s="1"/>
  <c r="R34" i="14"/>
  <c r="T36" i="9"/>
  <c r="W6" i="12"/>
  <c r="M74" i="9"/>
  <c r="M76" i="9" s="1"/>
  <c r="S14" i="14"/>
  <c r="S52" i="14" s="1"/>
  <c r="S34" i="14"/>
  <c r="M35" i="12"/>
  <c r="M82" i="12" s="1"/>
  <c r="M110" i="12" s="1"/>
  <c r="M38" i="26" s="1"/>
  <c r="N32" i="14"/>
  <c r="N35" i="14"/>
  <c r="N57" i="14" s="1"/>
  <c r="L27" i="14"/>
  <c r="L71" i="14"/>
  <c r="M76" i="12"/>
  <c r="M62" i="12"/>
  <c r="M20" i="14"/>
  <c r="M69" i="14" s="1"/>
  <c r="M77" i="14" s="1"/>
  <c r="M12" i="14"/>
  <c r="M17" i="14"/>
  <c r="M90" i="14" s="1"/>
  <c r="N11" i="12"/>
  <c r="U5" i="14"/>
  <c r="U4" i="14"/>
  <c r="W7" i="14"/>
  <c r="V6" i="14"/>
  <c r="V152" i="12"/>
  <c r="V5" i="12"/>
  <c r="V4" i="12"/>
  <c r="V13" i="9"/>
  <c r="U34" i="9"/>
  <c r="T75" i="12"/>
  <c r="U56" i="12"/>
  <c r="U58" i="12" s="1"/>
  <c r="T58" i="12"/>
  <c r="Y7" i="12"/>
  <c r="X6" i="12"/>
  <c r="U54" i="9"/>
  <c r="U56" i="9" s="1"/>
  <c r="U58" i="9" s="1"/>
  <c r="V23" i="9"/>
  <c r="N62" i="9"/>
  <c r="N64" i="9" s="1"/>
  <c r="N20" i="26" s="1"/>
  <c r="N21" i="26" s="1"/>
  <c r="N68" i="9"/>
  <c r="S41" i="9"/>
  <c r="S63" i="9"/>
  <c r="O18" i="9"/>
  <c r="O19" i="9" s="1"/>
  <c r="T26" i="9"/>
  <c r="T29" i="9" s="1"/>
  <c r="T33" i="14" s="1"/>
  <c r="U27" i="9"/>
  <c r="U17" i="9"/>
  <c r="S60" i="14" l="1"/>
  <c r="S64" i="14"/>
  <c r="R60" i="14"/>
  <c r="R64" i="14"/>
  <c r="T47" i="14"/>
  <c r="T43" i="14" s="1"/>
  <c r="W92" i="12"/>
  <c r="X92" i="12" s="1"/>
  <c r="U47" i="14"/>
  <c r="U43" i="14" s="1"/>
  <c r="U18" i="12"/>
  <c r="T87" i="12"/>
  <c r="T89" i="12" s="1"/>
  <c r="T95" i="12" s="1"/>
  <c r="T20" i="12"/>
  <c r="W88" i="12"/>
  <c r="J117" i="12"/>
  <c r="I124" i="12"/>
  <c r="I127" i="12" s="1"/>
  <c r="I129" i="12" s="1"/>
  <c r="I131" i="12" s="1"/>
  <c r="I172" i="12" s="1"/>
  <c r="G164" i="12"/>
  <c r="H162" i="12"/>
  <c r="J124" i="12"/>
  <c r="J127" i="12" s="1"/>
  <c r="J47" i="26" s="1"/>
  <c r="J49" i="26" s="1"/>
  <c r="J51" i="26" s="1"/>
  <c r="J81" i="26" s="1"/>
  <c r="G73" i="26"/>
  <c r="H71" i="26"/>
  <c r="K68" i="12"/>
  <c r="K70" i="12" s="1"/>
  <c r="I125" i="12"/>
  <c r="J123" i="12" s="1"/>
  <c r="M36" i="12"/>
  <c r="M40" i="12"/>
  <c r="M43" i="12" s="1"/>
  <c r="W41" i="12"/>
  <c r="X41" i="12" s="1"/>
  <c r="W4" i="12"/>
  <c r="W5" i="12"/>
  <c r="V35" i="9"/>
  <c r="AH28" i="9"/>
  <c r="AH30" i="9"/>
  <c r="AH55" i="9" s="1"/>
  <c r="L46" i="12"/>
  <c r="K46" i="12"/>
  <c r="L173" i="12"/>
  <c r="L58" i="26"/>
  <c r="L82" i="26" s="1"/>
  <c r="L175" i="12"/>
  <c r="L64" i="26"/>
  <c r="L84" i="26" s="1"/>
  <c r="L35" i="26"/>
  <c r="L66" i="12"/>
  <c r="L100" i="12"/>
  <c r="L102" i="12" s="1"/>
  <c r="L112" i="12" s="1"/>
  <c r="L40" i="26" s="1"/>
  <c r="M23" i="12"/>
  <c r="S21" i="12"/>
  <c r="S15" i="26"/>
  <c r="M30" i="26"/>
  <c r="M77" i="9"/>
  <c r="M23" i="26"/>
  <c r="M65" i="26" s="1"/>
  <c r="T14" i="26"/>
  <c r="M18" i="26"/>
  <c r="W5" i="26"/>
  <c r="W4" i="26"/>
  <c r="Y7" i="26"/>
  <c r="X6" i="26"/>
  <c r="U36" i="9"/>
  <c r="W152" i="12"/>
  <c r="X152" i="12" s="1"/>
  <c r="S15" i="14"/>
  <c r="S23" i="14"/>
  <c r="S24" i="14" s="1"/>
  <c r="T15" i="14"/>
  <c r="M106" i="12"/>
  <c r="M113" i="12" s="1"/>
  <c r="M41" i="26" s="1"/>
  <c r="T52" i="14"/>
  <c r="T34" i="14"/>
  <c r="M79" i="14"/>
  <c r="T70" i="14"/>
  <c r="T78" i="14" s="1"/>
  <c r="N75" i="14"/>
  <c r="M18" i="14"/>
  <c r="M53" i="14"/>
  <c r="M65" i="14" s="1"/>
  <c r="N70" i="9"/>
  <c r="N11" i="14"/>
  <c r="N51" i="14" s="1"/>
  <c r="O40" i="9"/>
  <c r="O42" i="9" s="1"/>
  <c r="O11" i="26" s="1"/>
  <c r="O31" i="14"/>
  <c r="N60" i="12"/>
  <c r="N12" i="12"/>
  <c r="M21" i="14"/>
  <c r="M26" i="14"/>
  <c r="M29" i="12"/>
  <c r="V5" i="14"/>
  <c r="V4" i="14"/>
  <c r="X7" i="14"/>
  <c r="W6" i="14"/>
  <c r="N75" i="9"/>
  <c r="N26" i="12"/>
  <c r="N27" i="12" s="1"/>
  <c r="W13" i="9"/>
  <c r="V34" i="9"/>
  <c r="U75" i="12"/>
  <c r="V56" i="12"/>
  <c r="V58" i="12" s="1"/>
  <c r="X4" i="12"/>
  <c r="X5" i="12"/>
  <c r="Z7" i="12"/>
  <c r="Y6" i="12"/>
  <c r="U69" i="9"/>
  <c r="V54" i="9"/>
  <c r="V56" i="9" s="1"/>
  <c r="V58" i="9" s="1"/>
  <c r="W23" i="9"/>
  <c r="T41" i="9"/>
  <c r="T63" i="9"/>
  <c r="P16" i="9"/>
  <c r="P18" i="9" s="1"/>
  <c r="O48" i="9"/>
  <c r="O50" i="9" s="1"/>
  <c r="U26" i="9"/>
  <c r="U29" i="9" s="1"/>
  <c r="U33" i="14" s="1"/>
  <c r="U34" i="14" s="1"/>
  <c r="V27" i="9"/>
  <c r="V17" i="9"/>
  <c r="N59" i="14" l="1"/>
  <c r="N61" i="14" s="1"/>
  <c r="N63" i="14"/>
  <c r="T60" i="14"/>
  <c r="T64" i="14"/>
  <c r="M139" i="12"/>
  <c r="M141" i="12" s="1"/>
  <c r="M58" i="26" s="1"/>
  <c r="M82" i="26" s="1"/>
  <c r="M147" i="12"/>
  <c r="T111" i="12"/>
  <c r="T39" i="26" s="1"/>
  <c r="Y92" i="12"/>
  <c r="V19" i="12"/>
  <c r="V91" i="12" s="1"/>
  <c r="V93" i="12" s="1"/>
  <c r="U87" i="12"/>
  <c r="U89" i="12" s="1"/>
  <c r="U95" i="12" s="1"/>
  <c r="U20" i="12"/>
  <c r="V47" i="14"/>
  <c r="V43" i="14" s="1"/>
  <c r="V18" i="12"/>
  <c r="X88" i="12"/>
  <c r="I162" i="12"/>
  <c r="J125" i="12"/>
  <c r="K123" i="12" s="1"/>
  <c r="I47" i="26"/>
  <c r="I49" i="26" s="1"/>
  <c r="I51" i="26" s="1"/>
  <c r="I81" i="26" s="1"/>
  <c r="J129" i="12"/>
  <c r="J131" i="12" s="1"/>
  <c r="J172" i="12" s="1"/>
  <c r="W69" i="12"/>
  <c r="K71" i="12"/>
  <c r="K72" i="12" s="1"/>
  <c r="K109" i="12" s="1"/>
  <c r="L68" i="12"/>
  <c r="L70" i="12" s="1"/>
  <c r="Y41" i="12"/>
  <c r="W35" i="9"/>
  <c r="AI28" i="9"/>
  <c r="AI30" i="9"/>
  <c r="AI55" i="9" s="1"/>
  <c r="V69" i="9"/>
  <c r="V14" i="14" s="1"/>
  <c r="V23" i="14" s="1"/>
  <c r="M24" i="12"/>
  <c r="M173" i="12"/>
  <c r="M64" i="12"/>
  <c r="M77" i="12" s="1"/>
  <c r="M78" i="12" s="1"/>
  <c r="M99" i="12" s="1"/>
  <c r="M100" i="12" s="1"/>
  <c r="M151" i="12"/>
  <c r="M153" i="12" s="1"/>
  <c r="T21" i="12"/>
  <c r="O12" i="26"/>
  <c r="M85" i="26"/>
  <c r="U14" i="26"/>
  <c r="N35" i="12"/>
  <c r="N82" i="12" s="1"/>
  <c r="N110" i="12" s="1"/>
  <c r="N38" i="26" s="1"/>
  <c r="N29" i="26"/>
  <c r="T15" i="26"/>
  <c r="X5" i="26"/>
  <c r="X4" i="26"/>
  <c r="Z7" i="26"/>
  <c r="Y6" i="26"/>
  <c r="T24" i="14"/>
  <c r="V36" i="9"/>
  <c r="U14" i="14"/>
  <c r="U23" i="14" s="1"/>
  <c r="U70" i="14" s="1"/>
  <c r="U78" i="14" s="1"/>
  <c r="S70" i="14"/>
  <c r="S78" i="14" s="1"/>
  <c r="N74" i="9"/>
  <c r="N76" i="9" s="1"/>
  <c r="M155" i="12"/>
  <c r="N72" i="9"/>
  <c r="O35" i="14"/>
  <c r="O57" i="14" s="1"/>
  <c r="O32" i="14"/>
  <c r="M27" i="14"/>
  <c r="M71" i="14"/>
  <c r="O11" i="12"/>
  <c r="N76" i="12"/>
  <c r="N62" i="12"/>
  <c r="N20" i="14"/>
  <c r="N69" i="14" s="1"/>
  <c r="N77" i="14" s="1"/>
  <c r="N12" i="14"/>
  <c r="N17" i="14"/>
  <c r="N90" i="14" s="1"/>
  <c r="W5" i="14"/>
  <c r="W4" i="14"/>
  <c r="Y7" i="14"/>
  <c r="X6" i="14"/>
  <c r="Y152" i="12"/>
  <c r="X13" i="9"/>
  <c r="W34" i="9"/>
  <c r="V75" i="12"/>
  <c r="W56" i="12"/>
  <c r="W58" i="12" s="1"/>
  <c r="Y5" i="12"/>
  <c r="Y4" i="12"/>
  <c r="AA7" i="12"/>
  <c r="Z6" i="12"/>
  <c r="O62" i="9"/>
  <c r="O64" i="9" s="1"/>
  <c r="O20" i="26" s="1"/>
  <c r="O68" i="9"/>
  <c r="W54" i="9"/>
  <c r="W56" i="9" s="1"/>
  <c r="W58" i="9" s="1"/>
  <c r="X23" i="9"/>
  <c r="U41" i="9"/>
  <c r="U63" i="9"/>
  <c r="P19" i="9"/>
  <c r="V26" i="9"/>
  <c r="V29" i="9" s="1"/>
  <c r="V33" i="14" s="1"/>
  <c r="W27" i="9"/>
  <c r="W17" i="9"/>
  <c r="U111" i="12" l="1"/>
  <c r="U39" i="26" s="1"/>
  <c r="Z92" i="12"/>
  <c r="V95" i="12"/>
  <c r="W18" i="12"/>
  <c r="V87" i="12"/>
  <c r="V89" i="12" s="1"/>
  <c r="V20" i="12"/>
  <c r="V21" i="12" s="1"/>
  <c r="W19" i="12"/>
  <c r="W91" i="12" s="1"/>
  <c r="W93" i="12" s="1"/>
  <c r="Y88" i="12"/>
  <c r="I71" i="26"/>
  <c r="J71" i="26" s="1"/>
  <c r="J162" i="12"/>
  <c r="K37" i="26"/>
  <c r="K42" i="26" s="1"/>
  <c r="K44" i="26" s="1"/>
  <c r="K45" i="26" s="1"/>
  <c r="K114" i="12"/>
  <c r="K116" i="12" s="1"/>
  <c r="X69" i="12"/>
  <c r="L71" i="12"/>
  <c r="L72" i="12" s="1"/>
  <c r="L109" i="12" s="1"/>
  <c r="L37" i="26" s="1"/>
  <c r="L42" i="26" s="1"/>
  <c r="L44" i="26" s="1"/>
  <c r="L45" i="26" s="1"/>
  <c r="N36" i="12"/>
  <c r="N40" i="12"/>
  <c r="N43" i="12" s="1"/>
  <c r="Z41" i="12"/>
  <c r="X35" i="9"/>
  <c r="AJ28" i="9"/>
  <c r="AJ30" i="9"/>
  <c r="AJ55" i="9" s="1"/>
  <c r="W69" i="9"/>
  <c r="W14" i="14" s="1"/>
  <c r="W23" i="14" s="1"/>
  <c r="M66" i="12"/>
  <c r="M175" i="12"/>
  <c r="M64" i="26"/>
  <c r="M84" i="26" s="1"/>
  <c r="M45" i="12"/>
  <c r="M32" i="26"/>
  <c r="M34" i="26" s="1"/>
  <c r="M35" i="26" s="1"/>
  <c r="N106" i="12"/>
  <c r="N113" i="12" s="1"/>
  <c r="N41" i="26" s="1"/>
  <c r="M101" i="12"/>
  <c r="M102" i="12" s="1"/>
  <c r="M112" i="12" s="1"/>
  <c r="U21" i="12"/>
  <c r="N30" i="26"/>
  <c r="N23" i="12"/>
  <c r="N17" i="26"/>
  <c r="V14" i="26"/>
  <c r="U15" i="26"/>
  <c r="O21" i="26"/>
  <c r="N77" i="9"/>
  <c r="N23" i="26"/>
  <c r="N65" i="26" s="1"/>
  <c r="Y5" i="26"/>
  <c r="Y4" i="26"/>
  <c r="AA7" i="26"/>
  <c r="Z6" i="26"/>
  <c r="W36" i="9"/>
  <c r="U52" i="14"/>
  <c r="U64" i="14" s="1"/>
  <c r="U15" i="14"/>
  <c r="V15" i="14"/>
  <c r="M176" i="12"/>
  <c r="V52" i="14"/>
  <c r="V34" i="14"/>
  <c r="N79" i="14"/>
  <c r="O75" i="14"/>
  <c r="V70" i="14"/>
  <c r="V78" i="14" s="1"/>
  <c r="U24" i="14"/>
  <c r="N18" i="14"/>
  <c r="N53" i="14"/>
  <c r="N65" i="14" s="1"/>
  <c r="V24" i="14"/>
  <c r="O70" i="9"/>
  <c r="O11" i="14"/>
  <c r="O51" i="14" s="1"/>
  <c r="N26" i="14"/>
  <c r="N21" i="14"/>
  <c r="O60" i="12"/>
  <c r="O12" i="12"/>
  <c r="P40" i="9"/>
  <c r="P42" i="9" s="1"/>
  <c r="P11" i="26" s="1"/>
  <c r="P31" i="14"/>
  <c r="N29" i="12"/>
  <c r="Z7" i="14"/>
  <c r="Y6" i="14"/>
  <c r="X5" i="14"/>
  <c r="X4" i="14"/>
  <c r="O75" i="9"/>
  <c r="O26" i="12"/>
  <c r="O27" i="12" s="1"/>
  <c r="Z152" i="12"/>
  <c r="Y13" i="9"/>
  <c r="X34" i="9"/>
  <c r="W75" i="12"/>
  <c r="X56" i="12"/>
  <c r="X58" i="12" s="1"/>
  <c r="Z4" i="12"/>
  <c r="Z5" i="12"/>
  <c r="AB7" i="12"/>
  <c r="AA6" i="12"/>
  <c r="Y23" i="9"/>
  <c r="X54" i="9"/>
  <c r="X56" i="9" s="1"/>
  <c r="X58" i="9" s="1"/>
  <c r="V41" i="9"/>
  <c r="V63" i="9"/>
  <c r="Q16" i="9"/>
  <c r="P48" i="9"/>
  <c r="P50" i="9" s="1"/>
  <c r="W26" i="9"/>
  <c r="W29" i="9" s="1"/>
  <c r="W33" i="14" s="1"/>
  <c r="X27" i="9"/>
  <c r="X17" i="9"/>
  <c r="V60" i="14" l="1"/>
  <c r="V64" i="14"/>
  <c r="O59" i="14"/>
  <c r="O61" i="14" s="1"/>
  <c r="O63" i="14"/>
  <c r="U60" i="14"/>
  <c r="W47" i="14"/>
  <c r="W43" i="14" s="1"/>
  <c r="N139" i="12"/>
  <c r="N141" i="12" s="1"/>
  <c r="N147" i="12"/>
  <c r="AA92" i="12"/>
  <c r="X18" i="12"/>
  <c r="X19" i="12"/>
  <c r="X91" i="12" s="1"/>
  <c r="X93" i="12" s="1"/>
  <c r="W87" i="12"/>
  <c r="W89" i="12" s="1"/>
  <c r="W95" i="12" s="1"/>
  <c r="W111" i="12" s="1"/>
  <c r="W39" i="26" s="1"/>
  <c r="W20" i="12"/>
  <c r="Z88" i="12"/>
  <c r="L114" i="12"/>
  <c r="L116" i="12" s="1"/>
  <c r="K117" i="12"/>
  <c r="K124" i="12"/>
  <c r="K127" i="12" s="1"/>
  <c r="M68" i="12"/>
  <c r="M70" i="12" s="1"/>
  <c r="AA41" i="12"/>
  <c r="Y35" i="9"/>
  <c r="AK28" i="9"/>
  <c r="AK30" i="9"/>
  <c r="AK55" i="9" s="1"/>
  <c r="N45" i="12"/>
  <c r="N24" i="12"/>
  <c r="M46" i="12"/>
  <c r="M40" i="26"/>
  <c r="N173" i="12"/>
  <c r="N58" i="26"/>
  <c r="N64" i="12"/>
  <c r="N77" i="12" s="1"/>
  <c r="N78" i="12" s="1"/>
  <c r="N99" i="12" s="1"/>
  <c r="N100" i="12" s="1"/>
  <c r="V111" i="12"/>
  <c r="V39" i="26" s="1"/>
  <c r="N151" i="12"/>
  <c r="N153" i="12" s="1"/>
  <c r="W14" i="26"/>
  <c r="N85" i="26"/>
  <c r="N18" i="26"/>
  <c r="P12" i="26"/>
  <c r="O35" i="12"/>
  <c r="O29" i="26"/>
  <c r="V15" i="26"/>
  <c r="Z5" i="26"/>
  <c r="Z4" i="26"/>
  <c r="AB7" i="26"/>
  <c r="AA6" i="26"/>
  <c r="X36" i="9"/>
  <c r="W15" i="14"/>
  <c r="N155" i="12"/>
  <c r="W52" i="14"/>
  <c r="W34" i="14"/>
  <c r="P32" i="14"/>
  <c r="P35" i="14"/>
  <c r="P75" i="14" s="1"/>
  <c r="W70" i="14"/>
  <c r="W78" i="14" s="1"/>
  <c r="W24" i="14"/>
  <c r="N27" i="14"/>
  <c r="N71" i="14"/>
  <c r="O72" i="9"/>
  <c r="O17" i="26" s="1"/>
  <c r="O76" i="12"/>
  <c r="O62" i="12"/>
  <c r="O74" i="9"/>
  <c r="O76" i="9" s="1"/>
  <c r="P11" i="12"/>
  <c r="O20" i="14"/>
  <c r="O69" i="14" s="1"/>
  <c r="O77" i="14" s="1"/>
  <c r="O12" i="14"/>
  <c r="O17" i="14"/>
  <c r="O90" i="14" s="1"/>
  <c r="Y5" i="14"/>
  <c r="Y4" i="14"/>
  <c r="AA7" i="14"/>
  <c r="Z6" i="14"/>
  <c r="AA152" i="12"/>
  <c r="Z13" i="9"/>
  <c r="Y34" i="9"/>
  <c r="X75" i="12"/>
  <c r="Y56" i="12"/>
  <c r="Y58" i="12" s="1"/>
  <c r="AA5" i="12"/>
  <c r="AA4" i="12"/>
  <c r="AC7" i="12"/>
  <c r="AB6" i="12"/>
  <c r="X69" i="9"/>
  <c r="Y54" i="9"/>
  <c r="Y56" i="9" s="1"/>
  <c r="Y58" i="9" s="1"/>
  <c r="Y69" i="9" s="1"/>
  <c r="Z23" i="9"/>
  <c r="P62" i="9"/>
  <c r="P64" i="9" s="1"/>
  <c r="P20" i="26" s="1"/>
  <c r="P21" i="26" s="1"/>
  <c r="P68" i="9"/>
  <c r="W41" i="9"/>
  <c r="W63" i="9"/>
  <c r="Q18" i="9"/>
  <c r="Q19" i="9" s="1"/>
  <c r="X26" i="9"/>
  <c r="X29" i="9" s="1"/>
  <c r="X33" i="14" s="1"/>
  <c r="X34" i="14" s="1"/>
  <c r="Y27" i="9"/>
  <c r="Y17" i="9"/>
  <c r="W60" i="14" l="1"/>
  <c r="W64" i="14"/>
  <c r="X47" i="14"/>
  <c r="X43" i="14" s="1"/>
  <c r="AB92" i="12"/>
  <c r="Y19" i="12"/>
  <c r="Y91" i="12" s="1"/>
  <c r="Y93" i="12" s="1"/>
  <c r="Y18" i="12"/>
  <c r="X87" i="12"/>
  <c r="X89" i="12" s="1"/>
  <c r="X95" i="12" s="1"/>
  <c r="X111" i="12" s="1"/>
  <c r="X39" i="26" s="1"/>
  <c r="X20" i="12"/>
  <c r="AA88" i="12"/>
  <c r="L124" i="12"/>
  <c r="L117" i="12"/>
  <c r="AB41" i="12"/>
  <c r="O40" i="12"/>
  <c r="O43" i="12" s="1"/>
  <c r="O82" i="12"/>
  <c r="O110" i="12" s="1"/>
  <c r="O38" i="26" s="1"/>
  <c r="L127" i="12"/>
  <c r="Y69" i="12"/>
  <c r="M71" i="12"/>
  <c r="M72" i="12" s="1"/>
  <c r="M109" i="12" s="1"/>
  <c r="K47" i="26"/>
  <c r="K49" i="26" s="1"/>
  <c r="K51" i="26" s="1"/>
  <c r="K129" i="12"/>
  <c r="K131" i="12" s="1"/>
  <c r="K125" i="12"/>
  <c r="L123" i="12" s="1"/>
  <c r="Z35" i="9"/>
  <c r="AL28" i="9"/>
  <c r="AL30" i="9"/>
  <c r="AL55" i="9" s="1"/>
  <c r="N32" i="26"/>
  <c r="N34" i="26" s="1"/>
  <c r="N35" i="26" s="1"/>
  <c r="N46" i="12"/>
  <c r="N101" i="12"/>
  <c r="N102" i="12" s="1"/>
  <c r="N112" i="12" s="1"/>
  <c r="N40" i="26" s="1"/>
  <c r="O36" i="12"/>
  <c r="N175" i="12"/>
  <c r="N64" i="26"/>
  <c r="N84" i="26" s="1"/>
  <c r="O106" i="12"/>
  <c r="O113" i="12" s="1"/>
  <c r="O41" i="26" s="1"/>
  <c r="N66" i="12"/>
  <c r="O23" i="12"/>
  <c r="O147" i="12" s="1"/>
  <c r="W21" i="12"/>
  <c r="X14" i="26"/>
  <c r="O30" i="26"/>
  <c r="N82" i="26"/>
  <c r="W15" i="26"/>
  <c r="O77" i="9"/>
  <c r="O23" i="26"/>
  <c r="O65" i="26" s="1"/>
  <c r="O18" i="26"/>
  <c r="AA5" i="26"/>
  <c r="AA4" i="26"/>
  <c r="AC7" i="26"/>
  <c r="AB6" i="26"/>
  <c r="Y36" i="9"/>
  <c r="Y14" i="14"/>
  <c r="X14" i="14"/>
  <c r="X52" i="14" s="1"/>
  <c r="N176" i="12"/>
  <c r="O79" i="14"/>
  <c r="P57" i="14"/>
  <c r="O18" i="14"/>
  <c r="O53" i="14"/>
  <c r="O65" i="14" s="1"/>
  <c r="O21" i="14"/>
  <c r="O26" i="14"/>
  <c r="P60" i="12"/>
  <c r="P12" i="12"/>
  <c r="P70" i="9"/>
  <c r="P11" i="14"/>
  <c r="P51" i="14" s="1"/>
  <c r="Q40" i="9"/>
  <c r="Q42" i="9" s="1"/>
  <c r="Q11" i="26" s="1"/>
  <c r="Q31" i="14"/>
  <c r="O29" i="12"/>
  <c r="O155" i="12" s="1"/>
  <c r="Z5" i="14"/>
  <c r="Z4" i="14"/>
  <c r="AB7" i="14"/>
  <c r="AA6" i="14"/>
  <c r="P75" i="9"/>
  <c r="P26" i="12"/>
  <c r="P27" i="12" s="1"/>
  <c r="AB152" i="12"/>
  <c r="AA13" i="9"/>
  <c r="Z34" i="9"/>
  <c r="Y75" i="12"/>
  <c r="Z56" i="12"/>
  <c r="Z58" i="12" s="1"/>
  <c r="AB4" i="12"/>
  <c r="AB5" i="12"/>
  <c r="AD7" i="12"/>
  <c r="AC6" i="12"/>
  <c r="Z54" i="9"/>
  <c r="Z56" i="9" s="1"/>
  <c r="Z58" i="9" s="1"/>
  <c r="AA23" i="9"/>
  <c r="X63" i="9"/>
  <c r="X41" i="9"/>
  <c r="R16" i="9"/>
  <c r="Q48" i="9"/>
  <c r="Q50" i="9" s="1"/>
  <c r="Y26" i="9"/>
  <c r="Y29" i="9" s="1"/>
  <c r="Y33" i="14" s="1"/>
  <c r="Z27" i="9"/>
  <c r="Z17" i="9"/>
  <c r="P59" i="14" l="1"/>
  <c r="P61" i="14" s="1"/>
  <c r="P63" i="14"/>
  <c r="X60" i="14"/>
  <c r="X64" i="14"/>
  <c r="Y47" i="14"/>
  <c r="Y43" i="14" s="1"/>
  <c r="AC92" i="12"/>
  <c r="Z19" i="12"/>
  <c r="Z91" i="12" s="1"/>
  <c r="Z93" i="12" s="1"/>
  <c r="Y87" i="12"/>
  <c r="Y89" i="12" s="1"/>
  <c r="Y95" i="12" s="1"/>
  <c r="Y20" i="12"/>
  <c r="Z18" i="12"/>
  <c r="AB88" i="12"/>
  <c r="L125" i="12"/>
  <c r="M123" i="12" s="1"/>
  <c r="AC41" i="12"/>
  <c r="L129" i="12"/>
  <c r="L131" i="12" s="1"/>
  <c r="L172" i="12" s="1"/>
  <c r="L47" i="26"/>
  <c r="L49" i="26" s="1"/>
  <c r="L51" i="26" s="1"/>
  <c r="L81" i="26" s="1"/>
  <c r="M37" i="26"/>
  <c r="M42" i="26" s="1"/>
  <c r="M44" i="26" s="1"/>
  <c r="M45" i="26" s="1"/>
  <c r="M114" i="12"/>
  <c r="M116" i="12" s="1"/>
  <c r="K172" i="12"/>
  <c r="K162" i="12"/>
  <c r="K81" i="26"/>
  <c r="K71" i="26"/>
  <c r="N68" i="12"/>
  <c r="N70" i="12" s="1"/>
  <c r="AD6" i="12"/>
  <c r="AD4" i="12" s="1"/>
  <c r="AE7" i="12"/>
  <c r="AA35" i="9"/>
  <c r="AM28" i="9"/>
  <c r="AM30" i="9"/>
  <c r="AM55" i="9" s="1"/>
  <c r="Z69" i="9"/>
  <c r="Z14" i="14" s="1"/>
  <c r="Z15" i="14" s="1"/>
  <c r="O24" i="12"/>
  <c r="O139" i="12"/>
  <c r="O141" i="12" s="1"/>
  <c r="O173" i="12" s="1"/>
  <c r="O45" i="12"/>
  <c r="O32" i="26"/>
  <c r="O34" i="26" s="1"/>
  <c r="O151" i="12"/>
  <c r="O153" i="12" s="1"/>
  <c r="Z47" i="14"/>
  <c r="Z43" i="14" s="1"/>
  <c r="O64" i="12"/>
  <c r="X21" i="12"/>
  <c r="X15" i="26"/>
  <c r="Q12" i="26"/>
  <c r="P74" i="9"/>
  <c r="P76" i="9" s="1"/>
  <c r="P29" i="26"/>
  <c r="Y14" i="26"/>
  <c r="O85" i="26"/>
  <c r="AB5" i="26"/>
  <c r="AB4" i="26"/>
  <c r="AD7" i="26"/>
  <c r="AC6" i="26"/>
  <c r="Y15" i="14"/>
  <c r="X15" i="14"/>
  <c r="X23" i="14"/>
  <c r="X70" i="14" s="1"/>
  <c r="X78" i="14" s="1"/>
  <c r="Z36" i="9"/>
  <c r="P72" i="9"/>
  <c r="P17" i="26" s="1"/>
  <c r="Y23" i="14"/>
  <c r="Y70" i="14" s="1"/>
  <c r="Y78" i="14" s="1"/>
  <c r="O176" i="12"/>
  <c r="Y52" i="14"/>
  <c r="Y34" i="14"/>
  <c r="Q32" i="14"/>
  <c r="Q35" i="14"/>
  <c r="Q75" i="14" s="1"/>
  <c r="O27" i="14"/>
  <c r="O71" i="14"/>
  <c r="P35" i="12"/>
  <c r="P82" i="12" s="1"/>
  <c r="P110" i="12" s="1"/>
  <c r="P38" i="26" s="1"/>
  <c r="Q11" i="12"/>
  <c r="P20" i="14"/>
  <c r="P69" i="14" s="1"/>
  <c r="P77" i="14" s="1"/>
  <c r="P12" i="14"/>
  <c r="P17" i="14"/>
  <c r="P90" i="14" s="1"/>
  <c r="P76" i="12"/>
  <c r="P62" i="12"/>
  <c r="AA5" i="14"/>
  <c r="AA4" i="14"/>
  <c r="AC7" i="14"/>
  <c r="AB6" i="14"/>
  <c r="AC152" i="12"/>
  <c r="AB13" i="9"/>
  <c r="AA34" i="9"/>
  <c r="Z75" i="12"/>
  <c r="AA56" i="12"/>
  <c r="AC4" i="12"/>
  <c r="AC5" i="12"/>
  <c r="Q62" i="9"/>
  <c r="Q64" i="9" s="1"/>
  <c r="Q20" i="26" s="1"/>
  <c r="Q21" i="26" s="1"/>
  <c r="Q68" i="9"/>
  <c r="AB23" i="9"/>
  <c r="AA54" i="9"/>
  <c r="AA56" i="9" s="1"/>
  <c r="AA58" i="9" s="1"/>
  <c r="Y41" i="9"/>
  <c r="Y63" i="9"/>
  <c r="R18" i="9"/>
  <c r="R19" i="9" s="1"/>
  <c r="Z26" i="9"/>
  <c r="Z29" i="9" s="1"/>
  <c r="Z33" i="14" s="1"/>
  <c r="AA27" i="9"/>
  <c r="AA17" i="9"/>
  <c r="Y60" i="14" l="1"/>
  <c r="Y64" i="14"/>
  <c r="Y111" i="12"/>
  <c r="Y39" i="26" s="1"/>
  <c r="AD92" i="12"/>
  <c r="AA19" i="12"/>
  <c r="AA91" i="12" s="1"/>
  <c r="AA93" i="12" s="1"/>
  <c r="Z87" i="12"/>
  <c r="Z89" i="12" s="1"/>
  <c r="Z95" i="12" s="1"/>
  <c r="Z20" i="12"/>
  <c r="AA47" i="14"/>
  <c r="AA43" i="14" s="1"/>
  <c r="AA18" i="12"/>
  <c r="AC88" i="12"/>
  <c r="L71" i="26"/>
  <c r="AD41" i="12"/>
  <c r="M124" i="12"/>
  <c r="M125" i="12" s="1"/>
  <c r="N123" i="12" s="1"/>
  <c r="L162" i="12"/>
  <c r="M127" i="12"/>
  <c r="M129" i="12" s="1"/>
  <c r="M131" i="12" s="1"/>
  <c r="M172" i="12" s="1"/>
  <c r="M117" i="12"/>
  <c r="Z69" i="12"/>
  <c r="N71" i="12"/>
  <c r="N72" i="12" s="1"/>
  <c r="N109" i="12" s="1"/>
  <c r="N37" i="26" s="1"/>
  <c r="N42" i="26" s="1"/>
  <c r="N44" i="26" s="1"/>
  <c r="N45" i="26" s="1"/>
  <c r="P106" i="12"/>
  <c r="P113" i="12" s="1"/>
  <c r="P41" i="26" s="1"/>
  <c r="P40" i="12"/>
  <c r="P43" i="12" s="1"/>
  <c r="AD5" i="12"/>
  <c r="AD152" i="12"/>
  <c r="AE6" i="12"/>
  <c r="AF7" i="12"/>
  <c r="AA69" i="9"/>
  <c r="AA14" i="14" s="1"/>
  <c r="AA23" i="14" s="1"/>
  <c r="AB35" i="9"/>
  <c r="AN28" i="9"/>
  <c r="AN30" i="9"/>
  <c r="AN55" i="9" s="1"/>
  <c r="O58" i="26"/>
  <c r="O82" i="26" s="1"/>
  <c r="O46" i="12"/>
  <c r="O175" i="12"/>
  <c r="O64" i="26"/>
  <c r="O84" i="26" s="1"/>
  <c r="O35" i="26"/>
  <c r="O77" i="12"/>
  <c r="O78" i="12" s="1"/>
  <c r="O99" i="12" s="1"/>
  <c r="O66" i="12"/>
  <c r="P30" i="26"/>
  <c r="P77" i="9"/>
  <c r="P23" i="26"/>
  <c r="P65" i="26" s="1"/>
  <c r="Z14" i="26"/>
  <c r="P18" i="26"/>
  <c r="P23" i="12"/>
  <c r="P147" i="12" s="1"/>
  <c r="Y21" i="12"/>
  <c r="Y15" i="26"/>
  <c r="AC5" i="26"/>
  <c r="AC4" i="26"/>
  <c r="AD6" i="26"/>
  <c r="X24" i="14"/>
  <c r="AA36" i="9"/>
  <c r="Z23" i="14"/>
  <c r="Z70" i="14" s="1"/>
  <c r="Z78" i="14" s="1"/>
  <c r="Y24" i="14"/>
  <c r="Z52" i="14"/>
  <c r="Z34" i="14"/>
  <c r="P79" i="14"/>
  <c r="Q57" i="14"/>
  <c r="P18" i="14"/>
  <c r="P53" i="14"/>
  <c r="P65" i="14" s="1"/>
  <c r="P36" i="12"/>
  <c r="R40" i="9"/>
  <c r="R42" i="9" s="1"/>
  <c r="R11" i="26" s="1"/>
  <c r="R31" i="14"/>
  <c r="P26" i="14"/>
  <c r="P21" i="14"/>
  <c r="Q70" i="9"/>
  <c r="Q11" i="14"/>
  <c r="Q51" i="14" s="1"/>
  <c r="Q60" i="12"/>
  <c r="Q12" i="12"/>
  <c r="P29" i="12"/>
  <c r="AD7" i="14"/>
  <c r="AE7" i="14" s="1"/>
  <c r="AC6" i="14"/>
  <c r="AB4" i="14"/>
  <c r="AB5" i="14"/>
  <c r="Q75" i="9"/>
  <c r="Q26" i="12"/>
  <c r="Q27" i="12" s="1"/>
  <c r="AC13" i="9"/>
  <c r="AB34" i="9"/>
  <c r="AA75" i="12"/>
  <c r="AB56" i="12"/>
  <c r="AB58" i="12" s="1"/>
  <c r="AA58" i="12"/>
  <c r="AB54" i="9"/>
  <c r="AB56" i="9" s="1"/>
  <c r="AB58" i="9" s="1"/>
  <c r="AC23" i="9"/>
  <c r="Z41" i="9"/>
  <c r="Z63" i="9"/>
  <c r="S16" i="9"/>
  <c r="R48" i="9"/>
  <c r="R50" i="9" s="1"/>
  <c r="AA26" i="9"/>
  <c r="AA29" i="9" s="1"/>
  <c r="AA33" i="14" s="1"/>
  <c r="AB27" i="9"/>
  <c r="AB17" i="9"/>
  <c r="Q59" i="14" l="1"/>
  <c r="Q61" i="14" s="1"/>
  <c r="Q63" i="14"/>
  <c r="Z60" i="14"/>
  <c r="Z64" i="14"/>
  <c r="AE6" i="14"/>
  <c r="AF7" i="14"/>
  <c r="Z111" i="12"/>
  <c r="Z39" i="26" s="1"/>
  <c r="AE92" i="12"/>
  <c r="AB19" i="12"/>
  <c r="AB91" i="12" s="1"/>
  <c r="AB93" i="12" s="1"/>
  <c r="AA87" i="12"/>
  <c r="AA89" i="12" s="1"/>
  <c r="AA95" i="12" s="1"/>
  <c r="AA20" i="12"/>
  <c r="AA21" i="12" s="1"/>
  <c r="AB18" i="12"/>
  <c r="AD88" i="12"/>
  <c r="AE41" i="12"/>
  <c r="M47" i="26"/>
  <c r="M49" i="26" s="1"/>
  <c r="M51" i="26" s="1"/>
  <c r="M162" i="12"/>
  <c r="N114" i="12"/>
  <c r="N116" i="12" s="1"/>
  <c r="N124" i="12" s="1"/>
  <c r="N125" i="12" s="1"/>
  <c r="O123" i="12" s="1"/>
  <c r="O68" i="12"/>
  <c r="O70" i="12" s="1"/>
  <c r="AE152" i="12"/>
  <c r="AF6" i="12"/>
  <c r="AG7" i="12"/>
  <c r="AE4" i="12"/>
  <c r="AE5" i="12"/>
  <c r="AC35" i="9"/>
  <c r="AO30" i="9"/>
  <c r="AO55" i="9" s="1"/>
  <c r="AO28" i="9"/>
  <c r="AB69" i="9"/>
  <c r="AB14" i="14" s="1"/>
  <c r="AB23" i="14" s="1"/>
  <c r="Z21" i="12"/>
  <c r="O100" i="12"/>
  <c r="O101" i="12"/>
  <c r="P64" i="12"/>
  <c r="P77" i="12" s="1"/>
  <c r="P78" i="12" s="1"/>
  <c r="P99" i="12" s="1"/>
  <c r="P101" i="12" s="1"/>
  <c r="P24" i="12"/>
  <c r="P151" i="12"/>
  <c r="P153" i="12" s="1"/>
  <c r="P139" i="12"/>
  <c r="P141" i="12" s="1"/>
  <c r="P85" i="26"/>
  <c r="AA14" i="26"/>
  <c r="Q35" i="12"/>
  <c r="Q82" i="12" s="1"/>
  <c r="Q110" i="12" s="1"/>
  <c r="Q38" i="26" s="1"/>
  <c r="Q29" i="26"/>
  <c r="R12" i="26"/>
  <c r="Z15" i="26"/>
  <c r="AD5" i="26"/>
  <c r="AD4" i="26"/>
  <c r="Z24" i="14"/>
  <c r="AB36" i="9"/>
  <c r="AA15" i="14"/>
  <c r="Q72" i="9"/>
  <c r="P155" i="12"/>
  <c r="Q74" i="9"/>
  <c r="Q76" i="9" s="1"/>
  <c r="Q23" i="26" s="1"/>
  <c r="Q65" i="26" s="1"/>
  <c r="AA52" i="14"/>
  <c r="AA34" i="14"/>
  <c r="R32" i="14"/>
  <c r="R35" i="14"/>
  <c r="AA70" i="14"/>
  <c r="AA78" i="14" s="1"/>
  <c r="P27" i="14"/>
  <c r="P71" i="14"/>
  <c r="AA24" i="14"/>
  <c r="Q76" i="12"/>
  <c r="Q62" i="12"/>
  <c r="Q20" i="14"/>
  <c r="Q69" i="14" s="1"/>
  <c r="Q77" i="14" s="1"/>
  <c r="Q12" i="14"/>
  <c r="Q17" i="14"/>
  <c r="Q90" i="14" s="1"/>
  <c r="R11" i="12"/>
  <c r="AC5" i="14"/>
  <c r="AC4" i="14"/>
  <c r="AD6" i="14"/>
  <c r="AD13" i="9"/>
  <c r="AC34" i="9"/>
  <c r="AB75" i="12"/>
  <c r="AC56" i="12"/>
  <c r="AC58" i="12" s="1"/>
  <c r="R62" i="9"/>
  <c r="R64" i="9" s="1"/>
  <c r="R20" i="26" s="1"/>
  <c r="R21" i="26" s="1"/>
  <c r="R68" i="9"/>
  <c r="AC54" i="9"/>
  <c r="AC56" i="9" s="1"/>
  <c r="AC58" i="9" s="1"/>
  <c r="AD23" i="9"/>
  <c r="AA41" i="9"/>
  <c r="AA63" i="9"/>
  <c r="S18" i="9"/>
  <c r="S19" i="9" s="1"/>
  <c r="AB26" i="9"/>
  <c r="AB29" i="9" s="1"/>
  <c r="AB33" i="14" s="1"/>
  <c r="AC27" i="9"/>
  <c r="AC17" i="9"/>
  <c r="AA60" i="14" l="1"/>
  <c r="AA64" i="14"/>
  <c r="AG7" i="14"/>
  <c r="AF6" i="14"/>
  <c r="AE4" i="14"/>
  <c r="AE5" i="14"/>
  <c r="AB47" i="14"/>
  <c r="AB43" i="14" s="1"/>
  <c r="AF92" i="12"/>
  <c r="AC18" i="12"/>
  <c r="AC19" i="12"/>
  <c r="AC91" i="12" s="1"/>
  <c r="AC93" i="12" s="1"/>
  <c r="AB87" i="12"/>
  <c r="AB89" i="12" s="1"/>
  <c r="AB95" i="12" s="1"/>
  <c r="AB20" i="12"/>
  <c r="AB21" i="12" s="1"/>
  <c r="AE88" i="12"/>
  <c r="M71" i="26"/>
  <c r="M81" i="26"/>
  <c r="N117" i="12"/>
  <c r="N127" i="12"/>
  <c r="AA69" i="12"/>
  <c r="O71" i="12"/>
  <c r="O72" i="12" s="1"/>
  <c r="O109" i="12" s="1"/>
  <c r="O37" i="26" s="1"/>
  <c r="AF152" i="12"/>
  <c r="Q36" i="12"/>
  <c r="Q40" i="12"/>
  <c r="Q43" i="12" s="1"/>
  <c r="AF41" i="12"/>
  <c r="AG6" i="12"/>
  <c r="AH7" i="12"/>
  <c r="AF5" i="12"/>
  <c r="AF4" i="12"/>
  <c r="AP28" i="9"/>
  <c r="AP30" i="9"/>
  <c r="AP55" i="9" s="1"/>
  <c r="AE23" i="9"/>
  <c r="AC69" i="9"/>
  <c r="AC14" i="14" s="1"/>
  <c r="AC15" i="14" s="1"/>
  <c r="AD34" i="9"/>
  <c r="AE13" i="9"/>
  <c r="Q106" i="12"/>
  <c r="Q113" i="12" s="1"/>
  <c r="Q41" i="26" s="1"/>
  <c r="P175" i="12"/>
  <c r="P64" i="26"/>
  <c r="P84" i="26" s="1"/>
  <c r="P45" i="12"/>
  <c r="P32" i="26"/>
  <c r="P34" i="26" s="1"/>
  <c r="P35" i="26" s="1"/>
  <c r="P173" i="12"/>
  <c r="P58" i="26"/>
  <c r="P82" i="26" s="1"/>
  <c r="O102" i="12"/>
  <c r="O112" i="12" s="1"/>
  <c r="O40" i="26" s="1"/>
  <c r="P100" i="12"/>
  <c r="P102" i="12" s="1"/>
  <c r="P112" i="12" s="1"/>
  <c r="P40" i="26" s="1"/>
  <c r="P66" i="12"/>
  <c r="Q85" i="26"/>
  <c r="AB14" i="26"/>
  <c r="Q30" i="26"/>
  <c r="Q23" i="12"/>
  <c r="Q17" i="26"/>
  <c r="AA111" i="12"/>
  <c r="AA39" i="26" s="1"/>
  <c r="AA15" i="26"/>
  <c r="AC36" i="9"/>
  <c r="AC14" i="26" s="1"/>
  <c r="AB15" i="14"/>
  <c r="Q29" i="12"/>
  <c r="Q155" i="12" s="1"/>
  <c r="Q176" i="12" s="1"/>
  <c r="Q77" i="9"/>
  <c r="P176" i="12"/>
  <c r="AB52" i="14"/>
  <c r="AB34" i="14"/>
  <c r="Q79" i="14"/>
  <c r="R57" i="14"/>
  <c r="AB70" i="14"/>
  <c r="AB78" i="14" s="1"/>
  <c r="R75" i="14"/>
  <c r="Q18" i="14"/>
  <c r="Q53" i="14"/>
  <c r="Q65" i="14" s="1"/>
  <c r="AB24" i="14"/>
  <c r="R70" i="9"/>
  <c r="R11" i="14"/>
  <c r="R60" i="12"/>
  <c r="R12" i="12"/>
  <c r="S40" i="9"/>
  <c r="S42" i="9" s="1"/>
  <c r="S11" i="26" s="1"/>
  <c r="S31" i="14"/>
  <c r="Q21" i="14"/>
  <c r="Q26" i="14"/>
  <c r="AD5" i="14"/>
  <c r="AD4" i="14"/>
  <c r="R75" i="9"/>
  <c r="R26" i="12"/>
  <c r="R27" i="12" s="1"/>
  <c r="AD54" i="9"/>
  <c r="AD56" i="9" s="1"/>
  <c r="AD58" i="9" s="1"/>
  <c r="AD35" i="9"/>
  <c r="AD17" i="9"/>
  <c r="AC75" i="12"/>
  <c r="AD56" i="12"/>
  <c r="AD27" i="9"/>
  <c r="AB41" i="9"/>
  <c r="AB63" i="9"/>
  <c r="T16" i="9"/>
  <c r="S48" i="9"/>
  <c r="S50" i="9" s="1"/>
  <c r="AC26" i="9"/>
  <c r="AC29" i="9" s="1"/>
  <c r="AC33" i="14" s="1"/>
  <c r="AB60" i="14" l="1"/>
  <c r="AB64" i="14"/>
  <c r="AF5" i="14"/>
  <c r="AF4" i="14"/>
  <c r="AG6" i="14"/>
  <c r="AH7" i="14"/>
  <c r="AC47" i="14"/>
  <c r="AC43" i="14" s="1"/>
  <c r="Q24" i="12"/>
  <c r="Q147" i="12"/>
  <c r="AG92" i="12"/>
  <c r="AD19" i="12"/>
  <c r="AD91" i="12" s="1"/>
  <c r="AD93" i="12" s="1"/>
  <c r="AD18" i="12"/>
  <c r="AC87" i="12"/>
  <c r="AC89" i="12" s="1"/>
  <c r="AC95" i="12" s="1"/>
  <c r="AC111" i="12" s="1"/>
  <c r="AC39" i="26" s="1"/>
  <c r="AC20" i="12"/>
  <c r="AF88" i="12"/>
  <c r="AG152" i="12"/>
  <c r="N129" i="12"/>
  <c r="N131" i="12" s="1"/>
  <c r="N47" i="26"/>
  <c r="N49" i="26" s="1"/>
  <c r="N51" i="26" s="1"/>
  <c r="O42" i="26"/>
  <c r="O44" i="26" s="1"/>
  <c r="O45" i="26" s="1"/>
  <c r="P68" i="12"/>
  <c r="P70" i="12" s="1"/>
  <c r="AG41" i="12"/>
  <c r="AD75" i="12"/>
  <c r="AE56" i="12"/>
  <c r="AI7" i="12"/>
  <c r="AH6" i="12"/>
  <c r="AG5" i="12"/>
  <c r="AG4" i="12"/>
  <c r="AE17" i="9"/>
  <c r="AE34" i="9"/>
  <c r="AE18" i="12" s="1"/>
  <c r="AF13" i="9"/>
  <c r="AQ28" i="9"/>
  <c r="AE54" i="9"/>
  <c r="AE56" i="9" s="1"/>
  <c r="AE58" i="9" s="1"/>
  <c r="AQ30" i="9"/>
  <c r="AQ55" i="9" s="1"/>
  <c r="AF23" i="9"/>
  <c r="AE35" i="9"/>
  <c r="AE19" i="12" s="1"/>
  <c r="AE91" i="12" s="1"/>
  <c r="AE93" i="12" s="1"/>
  <c r="AE27" i="9"/>
  <c r="AD69" i="9"/>
  <c r="P46" i="12"/>
  <c r="O114" i="12"/>
  <c r="O116" i="12" s="1"/>
  <c r="AB111" i="12"/>
  <c r="AB39" i="26" s="1"/>
  <c r="Q139" i="12"/>
  <c r="Q141" i="12" s="1"/>
  <c r="Q64" i="12"/>
  <c r="Q77" i="12" s="1"/>
  <c r="Q78" i="12" s="1"/>
  <c r="Q99" i="12" s="1"/>
  <c r="Q101" i="12" s="1"/>
  <c r="Q151" i="12"/>
  <c r="Q153" i="12" s="1"/>
  <c r="AB15" i="26"/>
  <c r="S12" i="26"/>
  <c r="R35" i="12"/>
  <c r="R82" i="12" s="1"/>
  <c r="R110" i="12" s="1"/>
  <c r="R38" i="26" s="1"/>
  <c r="R29" i="26"/>
  <c r="AC15" i="26"/>
  <c r="Q18" i="26"/>
  <c r="AD47" i="14"/>
  <c r="AD43" i="14" s="1"/>
  <c r="AD36" i="9"/>
  <c r="R74" i="9"/>
  <c r="R76" i="9" s="1"/>
  <c r="AC23" i="14"/>
  <c r="AC24" i="14" s="1"/>
  <c r="R72" i="9"/>
  <c r="R51" i="14"/>
  <c r="AC52" i="14"/>
  <c r="AC34" i="14"/>
  <c r="S32" i="14"/>
  <c r="S35" i="14"/>
  <c r="Q27" i="14"/>
  <c r="Q71" i="14"/>
  <c r="R76" i="12"/>
  <c r="R62" i="12"/>
  <c r="S11" i="12"/>
  <c r="R20" i="14"/>
  <c r="R12" i="14"/>
  <c r="R17" i="14"/>
  <c r="R90" i="14" s="1"/>
  <c r="AD58" i="12"/>
  <c r="S62" i="9"/>
  <c r="S64" i="9" s="1"/>
  <c r="S20" i="26" s="1"/>
  <c r="S68" i="9"/>
  <c r="AC41" i="9"/>
  <c r="AC63" i="9"/>
  <c r="T18" i="9"/>
  <c r="T19" i="9" s="1"/>
  <c r="AD26" i="9"/>
  <c r="AD29" i="9" s="1"/>
  <c r="AC60" i="14" l="1"/>
  <c r="AC64" i="14"/>
  <c r="R59" i="14"/>
  <c r="R61" i="14" s="1"/>
  <c r="R63" i="14"/>
  <c r="AG5" i="14"/>
  <c r="AG4" i="14"/>
  <c r="AH6" i="14"/>
  <c r="AI7" i="14"/>
  <c r="AH92" i="12"/>
  <c r="AD87" i="12"/>
  <c r="AD89" i="12" s="1"/>
  <c r="AD95" i="12" s="1"/>
  <c r="AD20" i="12"/>
  <c r="AE20" i="12"/>
  <c r="AE87" i="12"/>
  <c r="AE89" i="12" s="1"/>
  <c r="AE95" i="12" s="1"/>
  <c r="AG88" i="12"/>
  <c r="N71" i="26"/>
  <c r="N81" i="26"/>
  <c r="N172" i="12"/>
  <c r="N162" i="12"/>
  <c r="AB69" i="12"/>
  <c r="P71" i="12"/>
  <c r="P72" i="12" s="1"/>
  <c r="P109" i="12" s="1"/>
  <c r="AH41" i="12"/>
  <c r="R36" i="12"/>
  <c r="R40" i="12"/>
  <c r="R43" i="12" s="1"/>
  <c r="AH4" i="12"/>
  <c r="AH5" i="12"/>
  <c r="AH152" i="12"/>
  <c r="AJ7" i="12"/>
  <c r="AI6" i="12"/>
  <c r="AE75" i="12"/>
  <c r="AE58" i="12"/>
  <c r="AF56" i="12"/>
  <c r="AD14" i="14"/>
  <c r="AE26" i="9"/>
  <c r="AE29" i="9" s="1"/>
  <c r="O124" i="12"/>
  <c r="O125" i="12" s="1"/>
  <c r="P123" i="12" s="1"/>
  <c r="AF34" i="9"/>
  <c r="AF18" i="12" s="1"/>
  <c r="AF17" i="9"/>
  <c r="AG13" i="9"/>
  <c r="AE63" i="9"/>
  <c r="AE69" i="9"/>
  <c r="AE36" i="9"/>
  <c r="AE14" i="26" s="1"/>
  <c r="AF27" i="9"/>
  <c r="AR30" i="9"/>
  <c r="AR55" i="9" s="1"/>
  <c r="AF35" i="9"/>
  <c r="AF19" i="12" s="1"/>
  <c r="AF91" i="12" s="1"/>
  <c r="AF93" i="12" s="1"/>
  <c r="AF54" i="9"/>
  <c r="AF56" i="9" s="1"/>
  <c r="AF58" i="9" s="1"/>
  <c r="AG23" i="9"/>
  <c r="AR28" i="9"/>
  <c r="O127" i="12"/>
  <c r="O47" i="26" s="1"/>
  <c r="O49" i="26" s="1"/>
  <c r="O51" i="26" s="1"/>
  <c r="O117" i="12"/>
  <c r="Q173" i="12"/>
  <c r="Q58" i="26"/>
  <c r="Q82" i="26" s="1"/>
  <c r="Q45" i="12"/>
  <c r="Q32" i="26"/>
  <c r="Q34" i="26" s="1"/>
  <c r="Q35" i="26" s="1"/>
  <c r="Q175" i="12"/>
  <c r="Q64" i="26"/>
  <c r="Q84" i="26" s="1"/>
  <c r="AC70" i="14"/>
  <c r="AC78" i="14" s="1"/>
  <c r="AC21" i="12"/>
  <c r="Q100" i="12"/>
  <c r="Q102" i="12" s="1"/>
  <c r="Q112" i="12" s="1"/>
  <c r="Q40" i="26" s="1"/>
  <c r="Q66" i="12"/>
  <c r="S21" i="26"/>
  <c r="R77" i="9"/>
  <c r="R23" i="26"/>
  <c r="R65" i="26" s="1"/>
  <c r="R106" i="12"/>
  <c r="R113" i="12" s="1"/>
  <c r="R41" i="26" s="1"/>
  <c r="R23" i="12"/>
  <c r="R17" i="26"/>
  <c r="AD21" i="12"/>
  <c r="AD14" i="26"/>
  <c r="R30" i="26"/>
  <c r="AD33" i="14"/>
  <c r="AE34" i="14" s="1"/>
  <c r="S75" i="14"/>
  <c r="R69" i="14"/>
  <c r="R77" i="14" s="1"/>
  <c r="R79" i="14" s="1"/>
  <c r="R53" i="14"/>
  <c r="R65" i="14" s="1"/>
  <c r="S57" i="14"/>
  <c r="R18" i="14"/>
  <c r="R21" i="14"/>
  <c r="R26" i="14"/>
  <c r="S70" i="9"/>
  <c r="S11" i="14"/>
  <c r="S60" i="12"/>
  <c r="S12" i="12"/>
  <c r="T40" i="9"/>
  <c r="T42" i="9" s="1"/>
  <c r="T11" i="26" s="1"/>
  <c r="T31" i="14"/>
  <c r="R29" i="12"/>
  <c r="S75" i="9"/>
  <c r="S26" i="12"/>
  <c r="S27" i="12" s="1"/>
  <c r="AD41" i="9"/>
  <c r="AD63" i="9"/>
  <c r="U16" i="9"/>
  <c r="T48" i="9"/>
  <c r="T50" i="9" s="1"/>
  <c r="AD23" i="14" l="1"/>
  <c r="AE24" i="14" s="1"/>
  <c r="AE15" i="14"/>
  <c r="AJ7" i="14"/>
  <c r="AI6" i="14"/>
  <c r="AH5" i="14"/>
  <c r="AH4" i="14"/>
  <c r="AE15" i="26"/>
  <c r="R151" i="12"/>
  <c r="R153" i="12" s="1"/>
  <c r="R175" i="12" s="1"/>
  <c r="R147" i="12"/>
  <c r="AI92" i="12"/>
  <c r="AF87" i="12"/>
  <c r="AF89" i="12" s="1"/>
  <c r="AF95" i="12" s="1"/>
  <c r="AF20" i="12"/>
  <c r="AH88" i="12"/>
  <c r="P114" i="12"/>
  <c r="P116" i="12" s="1"/>
  <c r="P124" i="12" s="1"/>
  <c r="P37" i="26"/>
  <c r="P42" i="26" s="1"/>
  <c r="P44" i="26" s="1"/>
  <c r="P45" i="26" s="1"/>
  <c r="Q68" i="12"/>
  <c r="Q70" i="12" s="1"/>
  <c r="O129" i="12"/>
  <c r="O131" i="12" s="1"/>
  <c r="O172" i="12" s="1"/>
  <c r="AI41" i="12"/>
  <c r="AF75" i="12"/>
  <c r="AF58" i="12"/>
  <c r="AG56" i="12"/>
  <c r="AK7" i="12"/>
  <c r="AJ6" i="12"/>
  <c r="AI5" i="12"/>
  <c r="AI4" i="12"/>
  <c r="AI152" i="12"/>
  <c r="AE111" i="12"/>
  <c r="AE39" i="26" s="1"/>
  <c r="AE21" i="12"/>
  <c r="AD52" i="14"/>
  <c r="AD15" i="14"/>
  <c r="AF26" i="9"/>
  <c r="AF29" i="9" s="1"/>
  <c r="AE41" i="9"/>
  <c r="AG35" i="9"/>
  <c r="AG19" i="12" s="1"/>
  <c r="AG91" i="12" s="1"/>
  <c r="AG93" i="12" s="1"/>
  <c r="AG54" i="9"/>
  <c r="AG56" i="9" s="1"/>
  <c r="AG58" i="9" s="1"/>
  <c r="AS28" i="9"/>
  <c r="AS30" i="9"/>
  <c r="AS55" i="9" s="1"/>
  <c r="AH23" i="9"/>
  <c r="AG27" i="9"/>
  <c r="AG34" i="9"/>
  <c r="AG18" i="12" s="1"/>
  <c r="AH13" i="9"/>
  <c r="AG17" i="9"/>
  <c r="AF63" i="9"/>
  <c r="AF69" i="9"/>
  <c r="AF36" i="9"/>
  <c r="AF14" i="26" s="1"/>
  <c r="Q46" i="12"/>
  <c r="R64" i="26"/>
  <c r="O81" i="26"/>
  <c r="O71" i="26"/>
  <c r="R139" i="12"/>
  <c r="R141" i="12" s="1"/>
  <c r="AD111" i="12"/>
  <c r="AD39" i="26" s="1"/>
  <c r="R64" i="12"/>
  <c r="R77" i="12" s="1"/>
  <c r="R78" i="12" s="1"/>
  <c r="R99" i="12" s="1"/>
  <c r="R101" i="12" s="1"/>
  <c r="R24" i="12"/>
  <c r="R18" i="26"/>
  <c r="R85" i="26"/>
  <c r="AD15" i="26"/>
  <c r="T12" i="26"/>
  <c r="S35" i="12"/>
  <c r="S82" i="12" s="1"/>
  <c r="S110" i="12" s="1"/>
  <c r="S38" i="26" s="1"/>
  <c r="S29" i="26"/>
  <c r="AD34" i="14"/>
  <c r="S51" i="14"/>
  <c r="R71" i="14"/>
  <c r="R155" i="12"/>
  <c r="S74" i="9"/>
  <c r="S76" i="9" s="1"/>
  <c r="T32" i="14"/>
  <c r="T35" i="14"/>
  <c r="T57" i="14" s="1"/>
  <c r="S72" i="9"/>
  <c r="S76" i="12"/>
  <c r="S62" i="12"/>
  <c r="T11" i="12"/>
  <c r="S12" i="14"/>
  <c r="S20" i="14"/>
  <c r="S17" i="14"/>
  <c r="S90" i="14" s="1"/>
  <c r="R27" i="14"/>
  <c r="T62" i="9"/>
  <c r="T64" i="9" s="1"/>
  <c r="T20" i="26" s="1"/>
  <c r="T21" i="26" s="1"/>
  <c r="T68" i="9"/>
  <c r="U18" i="9"/>
  <c r="U19" i="9" s="1"/>
  <c r="S59" i="14" l="1"/>
  <c r="S61" i="14" s="1"/>
  <c r="S63" i="14"/>
  <c r="AD60" i="14"/>
  <c r="AD64" i="14"/>
  <c r="AD70" i="14"/>
  <c r="AD78" i="14" s="1"/>
  <c r="AI5" i="14"/>
  <c r="AI4" i="14"/>
  <c r="AD24" i="14"/>
  <c r="AJ6" i="14"/>
  <c r="AK7" i="14"/>
  <c r="AF15" i="26"/>
  <c r="AF111" i="12"/>
  <c r="AF39" i="26" s="1"/>
  <c r="AJ92" i="12"/>
  <c r="AK92" i="12" s="1"/>
  <c r="AG87" i="12"/>
  <c r="AG89" i="12" s="1"/>
  <c r="AG95" i="12" s="1"/>
  <c r="AG20" i="12"/>
  <c r="AI88" i="12"/>
  <c r="P117" i="12"/>
  <c r="P127" i="12"/>
  <c r="P47" i="26" s="1"/>
  <c r="P49" i="26" s="1"/>
  <c r="P51" i="26" s="1"/>
  <c r="P81" i="26" s="1"/>
  <c r="P125" i="12"/>
  <c r="Q123" i="12" s="1"/>
  <c r="AC69" i="12"/>
  <c r="Q71" i="12"/>
  <c r="Q72" i="12" s="1"/>
  <c r="Q109" i="12" s="1"/>
  <c r="AJ41" i="12"/>
  <c r="O162" i="12"/>
  <c r="S106" i="12"/>
  <c r="S113" i="12" s="1"/>
  <c r="S41" i="26" s="1"/>
  <c r="S40" i="12"/>
  <c r="S43" i="12" s="1"/>
  <c r="AK6" i="12"/>
  <c r="AK41" i="12" s="1"/>
  <c r="AL7" i="12"/>
  <c r="AG75" i="12"/>
  <c r="AG58" i="12"/>
  <c r="AH56" i="12"/>
  <c r="AJ4" i="12"/>
  <c r="AJ5" i="12"/>
  <c r="AJ152" i="12"/>
  <c r="AF21" i="12"/>
  <c r="AH27" i="9"/>
  <c r="AI23" i="9"/>
  <c r="AT30" i="9"/>
  <c r="AT55" i="9" s="1"/>
  <c r="AT28" i="9"/>
  <c r="AH35" i="9"/>
  <c r="AH19" i="12" s="1"/>
  <c r="AH91" i="12" s="1"/>
  <c r="AH93" i="12" s="1"/>
  <c r="AH54" i="9"/>
  <c r="AH56" i="9" s="1"/>
  <c r="AH58" i="9" s="1"/>
  <c r="AI13" i="9"/>
  <c r="AH34" i="9"/>
  <c r="AH18" i="12" s="1"/>
  <c r="AH17" i="9"/>
  <c r="AG36" i="9"/>
  <c r="AG14" i="26" s="1"/>
  <c r="AG26" i="9"/>
  <c r="AG29" i="9" s="1"/>
  <c r="AF41" i="9"/>
  <c r="AG63" i="9"/>
  <c r="AG69" i="9"/>
  <c r="R173" i="12"/>
  <c r="R58" i="26"/>
  <c r="R82" i="26" s="1"/>
  <c r="R45" i="12"/>
  <c r="R32" i="26"/>
  <c r="R34" i="26" s="1"/>
  <c r="R35" i="26" s="1"/>
  <c r="S36" i="12"/>
  <c r="R66" i="12"/>
  <c r="R100" i="12"/>
  <c r="R102" i="12" s="1"/>
  <c r="R112" i="12" s="1"/>
  <c r="R40" i="26" s="1"/>
  <c r="S77" i="9"/>
  <c r="S23" i="26"/>
  <c r="S65" i="26" s="1"/>
  <c r="S30" i="26"/>
  <c r="R84" i="26"/>
  <c r="S23" i="12"/>
  <c r="S17" i="26"/>
  <c r="S69" i="14"/>
  <c r="S77" i="14" s="1"/>
  <c r="S79" i="14" s="1"/>
  <c r="S53" i="14"/>
  <c r="S65" i="14" s="1"/>
  <c r="R176" i="12"/>
  <c r="T75" i="14"/>
  <c r="S21" i="14"/>
  <c r="S26" i="14"/>
  <c r="T60" i="12"/>
  <c r="T12" i="12"/>
  <c r="U40" i="9"/>
  <c r="U42" i="9" s="1"/>
  <c r="U11" i="26" s="1"/>
  <c r="U31" i="14"/>
  <c r="S18" i="14"/>
  <c r="T70" i="9"/>
  <c r="T11" i="14"/>
  <c r="T51" i="14" s="1"/>
  <c r="S29" i="12"/>
  <c r="T75" i="9"/>
  <c r="T26" i="12"/>
  <c r="T27" i="12" s="1"/>
  <c r="V16" i="9"/>
  <c r="U48" i="9"/>
  <c r="U50" i="9" s="1"/>
  <c r="T59" i="14" l="1"/>
  <c r="T61" i="14" s="1"/>
  <c r="T63" i="14"/>
  <c r="AK6" i="14"/>
  <c r="AL7" i="14"/>
  <c r="AJ4" i="14"/>
  <c r="AJ5" i="14"/>
  <c r="AG15" i="26"/>
  <c r="S139" i="12"/>
  <c r="S141" i="12" s="1"/>
  <c r="S173" i="12" s="1"/>
  <c r="S147" i="12"/>
  <c r="AH87" i="12"/>
  <c r="AH89" i="12" s="1"/>
  <c r="AH95" i="12" s="1"/>
  <c r="AH20" i="12"/>
  <c r="AJ88" i="12"/>
  <c r="P129" i="12"/>
  <c r="P131" i="12" s="1"/>
  <c r="P162" i="12" s="1"/>
  <c r="Q37" i="26"/>
  <c r="Q42" i="26" s="1"/>
  <c r="Q44" i="26" s="1"/>
  <c r="Q45" i="26" s="1"/>
  <c r="Q114" i="12"/>
  <c r="Q116" i="12" s="1"/>
  <c r="Q117" i="12" s="1"/>
  <c r="R68" i="12"/>
  <c r="R70" i="12" s="1"/>
  <c r="AM7" i="12"/>
  <c r="AL6" i="12"/>
  <c r="AL41" i="12" s="1"/>
  <c r="AH75" i="12"/>
  <c r="AH58" i="12"/>
  <c r="AI56" i="12"/>
  <c r="AK5" i="12"/>
  <c r="AK4" i="12"/>
  <c r="AK152" i="12"/>
  <c r="AG21" i="12"/>
  <c r="AG111" i="12"/>
  <c r="AG39" i="26" s="1"/>
  <c r="AH36" i="9"/>
  <c r="AH14" i="26" s="1"/>
  <c r="S45" i="12"/>
  <c r="AH63" i="9"/>
  <c r="AH69" i="9"/>
  <c r="AJ23" i="9"/>
  <c r="AI54" i="9"/>
  <c r="AI56" i="9" s="1"/>
  <c r="AI58" i="9" s="1"/>
  <c r="AU30" i="9"/>
  <c r="AU55" i="9" s="1"/>
  <c r="AU28" i="9"/>
  <c r="AI27" i="9"/>
  <c r="AI35" i="9"/>
  <c r="AI19" i="12" s="1"/>
  <c r="AI91" i="12" s="1"/>
  <c r="AI93" i="12" s="1"/>
  <c r="AH26" i="9"/>
  <c r="AH29" i="9" s="1"/>
  <c r="AG41" i="9"/>
  <c r="AI17" i="9"/>
  <c r="AI34" i="9"/>
  <c r="AI18" i="12" s="1"/>
  <c r="AJ13" i="9"/>
  <c r="R46" i="12"/>
  <c r="S58" i="26"/>
  <c r="S64" i="12"/>
  <c r="S77" i="12" s="1"/>
  <c r="S78" i="12" s="1"/>
  <c r="S99" i="12" s="1"/>
  <c r="S100" i="12" s="1"/>
  <c r="P71" i="26"/>
  <c r="S151" i="12"/>
  <c r="S153" i="12" s="1"/>
  <c r="S24" i="12"/>
  <c r="S18" i="26"/>
  <c r="S85" i="26"/>
  <c r="T35" i="12"/>
  <c r="T29" i="26"/>
  <c r="U12" i="26"/>
  <c r="S71" i="14"/>
  <c r="T74" i="9"/>
  <c r="T76" i="9" s="1"/>
  <c r="T72" i="9"/>
  <c r="S155" i="12"/>
  <c r="S176" i="12" s="1"/>
  <c r="U32" i="14"/>
  <c r="U35" i="14"/>
  <c r="U57" i="14" s="1"/>
  <c r="T20" i="14"/>
  <c r="T69" i="14" s="1"/>
  <c r="T77" i="14" s="1"/>
  <c r="T12" i="14"/>
  <c r="T17" i="14"/>
  <c r="T90" i="14" s="1"/>
  <c r="U11" i="12"/>
  <c r="S27" i="14"/>
  <c r="T76" i="12"/>
  <c r="T62" i="12"/>
  <c r="U62" i="9"/>
  <c r="U64" i="9" s="1"/>
  <c r="U20" i="26" s="1"/>
  <c r="U21" i="26" s="1"/>
  <c r="U68" i="9"/>
  <c r="V18" i="9"/>
  <c r="V19" i="9" s="1"/>
  <c r="AK5" i="14" l="1"/>
  <c r="AK4" i="14"/>
  <c r="AM7" i="14"/>
  <c r="AL6" i="14"/>
  <c r="AH15" i="26"/>
  <c r="AL92" i="12"/>
  <c r="AI87" i="12"/>
  <c r="AI89" i="12" s="1"/>
  <c r="AI95" i="12" s="1"/>
  <c r="AI20" i="12"/>
  <c r="AK88" i="12"/>
  <c r="P172" i="12"/>
  <c r="T40" i="12"/>
  <c r="T43" i="12" s="1"/>
  <c r="T82" i="12"/>
  <c r="T110" i="12" s="1"/>
  <c r="T38" i="26" s="1"/>
  <c r="AD69" i="12"/>
  <c r="R71" i="12"/>
  <c r="R72" i="12" s="1"/>
  <c r="R109" i="12" s="1"/>
  <c r="Q127" i="12"/>
  <c r="Q124" i="12"/>
  <c r="Q125" i="12" s="1"/>
  <c r="R123" i="12" s="1"/>
  <c r="AL5" i="12"/>
  <c r="AL4" i="12"/>
  <c r="AL152" i="12"/>
  <c r="AJ56" i="12"/>
  <c r="AI75" i="12"/>
  <c r="AI58" i="12"/>
  <c r="AM6" i="12"/>
  <c r="AM41" i="12" s="1"/>
  <c r="AN7" i="12"/>
  <c r="AH21" i="12"/>
  <c r="AH111" i="12"/>
  <c r="AH39" i="26" s="1"/>
  <c r="AI36" i="9"/>
  <c r="AI14" i="26" s="1"/>
  <c r="AI15" i="26" s="1"/>
  <c r="S32" i="26"/>
  <c r="S34" i="26" s="1"/>
  <c r="S35" i="26" s="1"/>
  <c r="S46" i="12"/>
  <c r="S101" i="12"/>
  <c r="S102" i="12" s="1"/>
  <c r="S112" i="12" s="1"/>
  <c r="S40" i="26" s="1"/>
  <c r="AK23" i="9"/>
  <c r="AV30" i="9"/>
  <c r="AV55" i="9" s="1"/>
  <c r="AV28" i="9"/>
  <c r="AJ35" i="9"/>
  <c r="AJ19" i="12" s="1"/>
  <c r="AJ91" i="12" s="1"/>
  <c r="AJ93" i="12" s="1"/>
  <c r="AJ54" i="9"/>
  <c r="AJ56" i="9" s="1"/>
  <c r="AJ58" i="9" s="1"/>
  <c r="AJ27" i="9"/>
  <c r="S66" i="12"/>
  <c r="AJ17" i="9"/>
  <c r="AK13" i="9"/>
  <c r="AJ34" i="9"/>
  <c r="AJ18" i="12" s="1"/>
  <c r="AI26" i="9"/>
  <c r="AI29" i="9" s="1"/>
  <c r="AH41" i="9"/>
  <c r="AI63" i="9"/>
  <c r="AI69" i="9"/>
  <c r="S175" i="12"/>
  <c r="S64" i="26"/>
  <c r="S84" i="26" s="1"/>
  <c r="T106" i="12"/>
  <c r="T113" i="12" s="1"/>
  <c r="T41" i="26" s="1"/>
  <c r="T36" i="12"/>
  <c r="T23" i="12"/>
  <c r="T147" i="12" s="1"/>
  <c r="T17" i="26"/>
  <c r="T30" i="26"/>
  <c r="T77" i="9"/>
  <c r="T23" i="26"/>
  <c r="T65" i="26" s="1"/>
  <c r="S82" i="26"/>
  <c r="T79" i="14"/>
  <c r="U75" i="14"/>
  <c r="T18" i="14"/>
  <c r="T53" i="14"/>
  <c r="T65" i="14" s="1"/>
  <c r="U70" i="9"/>
  <c r="U11" i="14"/>
  <c r="U51" i="14" s="1"/>
  <c r="U60" i="12"/>
  <c r="U12" i="12"/>
  <c r="T26" i="14"/>
  <c r="T21" i="14"/>
  <c r="V40" i="9"/>
  <c r="V42" i="9" s="1"/>
  <c r="V11" i="26" s="1"/>
  <c r="V31" i="14"/>
  <c r="T29" i="12"/>
  <c r="U75" i="9"/>
  <c r="U26" i="12"/>
  <c r="U27" i="12" s="1"/>
  <c r="W16" i="9"/>
  <c r="V48" i="9"/>
  <c r="V50" i="9" s="1"/>
  <c r="U59" i="14" l="1"/>
  <c r="U61" i="14" s="1"/>
  <c r="U63" i="14"/>
  <c r="AM6" i="14"/>
  <c r="AN7" i="14"/>
  <c r="AL4" i="14"/>
  <c r="AL5" i="14"/>
  <c r="AM92" i="12"/>
  <c r="AJ87" i="12"/>
  <c r="AJ89" i="12" s="1"/>
  <c r="AJ95" i="12" s="1"/>
  <c r="AJ20" i="12"/>
  <c r="AL88" i="12"/>
  <c r="R114" i="12"/>
  <c r="R116" i="12" s="1"/>
  <c r="R117" i="12" s="1"/>
  <c r="R37" i="26"/>
  <c r="R42" i="26" s="1"/>
  <c r="R44" i="26" s="1"/>
  <c r="R45" i="26" s="1"/>
  <c r="Q47" i="26"/>
  <c r="Q49" i="26" s="1"/>
  <c r="Q51" i="26" s="1"/>
  <c r="Q129" i="12"/>
  <c r="Q131" i="12" s="1"/>
  <c r="S68" i="12"/>
  <c r="S70" i="12" s="1"/>
  <c r="AN6" i="12"/>
  <c r="AN41" i="12" s="1"/>
  <c r="AO7" i="12"/>
  <c r="AJ75" i="12"/>
  <c r="AJ58" i="12"/>
  <c r="AK56" i="12"/>
  <c r="AM4" i="12"/>
  <c r="AM5" i="12"/>
  <c r="AM152" i="12"/>
  <c r="AI111" i="12"/>
  <c r="AI39" i="26" s="1"/>
  <c r="AI21" i="12"/>
  <c r="AJ26" i="9"/>
  <c r="AJ29" i="9" s="1"/>
  <c r="AI41" i="9"/>
  <c r="AJ36" i="9"/>
  <c r="AJ14" i="26" s="1"/>
  <c r="AJ15" i="26" s="1"/>
  <c r="T151" i="12"/>
  <c r="T153" i="12" s="1"/>
  <c r="T175" i="12" s="1"/>
  <c r="AL13" i="9"/>
  <c r="AK17" i="9"/>
  <c r="AK34" i="9"/>
  <c r="AK18" i="12" s="1"/>
  <c r="AJ69" i="9"/>
  <c r="AJ63" i="9"/>
  <c r="AL23" i="9"/>
  <c r="AK27" i="9"/>
  <c r="AK35" i="9"/>
  <c r="AK19" i="12" s="1"/>
  <c r="AK91" i="12" s="1"/>
  <c r="AK93" i="12" s="1"/>
  <c r="AK54" i="9"/>
  <c r="AK56" i="9" s="1"/>
  <c r="AK58" i="9" s="1"/>
  <c r="AW28" i="9"/>
  <c r="AW30" i="9"/>
  <c r="AW55" i="9" s="1"/>
  <c r="T45" i="12"/>
  <c r="T32" i="26"/>
  <c r="T34" i="26" s="1"/>
  <c r="T64" i="12"/>
  <c r="T77" i="12" s="1"/>
  <c r="T78" i="12" s="1"/>
  <c r="T99" i="12" s="1"/>
  <c r="T101" i="12" s="1"/>
  <c r="T24" i="12"/>
  <c r="T139" i="12"/>
  <c r="T141" i="12" s="1"/>
  <c r="U74" i="9"/>
  <c r="U76" i="9" s="1"/>
  <c r="U29" i="26"/>
  <c r="V12" i="26"/>
  <c r="T18" i="26"/>
  <c r="T85" i="26"/>
  <c r="U72" i="9"/>
  <c r="T155" i="12"/>
  <c r="V32" i="14"/>
  <c r="V35" i="14"/>
  <c r="V57" i="14" s="1"/>
  <c r="T27" i="14"/>
  <c r="T71" i="14"/>
  <c r="V11" i="12"/>
  <c r="U76" i="12"/>
  <c r="U62" i="12"/>
  <c r="U20" i="14"/>
  <c r="U69" i="14" s="1"/>
  <c r="U77" i="14" s="1"/>
  <c r="U17" i="14"/>
  <c r="U90" i="14" s="1"/>
  <c r="U12" i="14"/>
  <c r="U35" i="12"/>
  <c r="V62" i="9"/>
  <c r="V64" i="9" s="1"/>
  <c r="V20" i="26" s="1"/>
  <c r="V21" i="26" s="1"/>
  <c r="V68" i="9"/>
  <c r="W18" i="9"/>
  <c r="W19" i="9" s="1"/>
  <c r="AM4" i="14" l="1"/>
  <c r="AM5" i="14"/>
  <c r="AN6" i="14"/>
  <c r="AO7" i="14"/>
  <c r="AJ111" i="12"/>
  <c r="AJ39" i="26" s="1"/>
  <c r="AN92" i="12"/>
  <c r="AK87" i="12"/>
  <c r="AK89" i="12" s="1"/>
  <c r="AK95" i="12" s="1"/>
  <c r="AK20" i="12"/>
  <c r="AM88" i="12"/>
  <c r="U40" i="12"/>
  <c r="U43" i="12" s="1"/>
  <c r="U82" i="12"/>
  <c r="U110" i="12" s="1"/>
  <c r="U38" i="26" s="1"/>
  <c r="R127" i="12"/>
  <c r="R129" i="12" s="1"/>
  <c r="R131" i="12" s="1"/>
  <c r="R172" i="12" s="1"/>
  <c r="R124" i="12"/>
  <c r="R125" i="12" s="1"/>
  <c r="S123" i="12" s="1"/>
  <c r="Q172" i="12"/>
  <c r="Q162" i="12"/>
  <c r="Q71" i="26"/>
  <c r="Q81" i="26"/>
  <c r="AE69" i="12"/>
  <c r="S71" i="12"/>
  <c r="S72" i="12" s="1"/>
  <c r="S109" i="12" s="1"/>
  <c r="S37" i="26" s="1"/>
  <c r="S42" i="26" s="1"/>
  <c r="S44" i="26" s="1"/>
  <c r="S45" i="26" s="1"/>
  <c r="AP7" i="12"/>
  <c r="AO6" i="12"/>
  <c r="AO41" i="12" s="1"/>
  <c r="AK75" i="12"/>
  <c r="AK58" i="12"/>
  <c r="AL56" i="12"/>
  <c r="AN4" i="12"/>
  <c r="AN5" i="12"/>
  <c r="AN152" i="12"/>
  <c r="AJ21" i="12"/>
  <c r="T64" i="26"/>
  <c r="T84" i="26" s="1"/>
  <c r="AK36" i="9"/>
  <c r="AK14" i="26" s="1"/>
  <c r="AK15" i="26" s="1"/>
  <c r="AX30" i="9"/>
  <c r="AX55" i="9" s="1"/>
  <c r="AM23" i="9"/>
  <c r="AL35" i="9"/>
  <c r="AL19" i="12" s="1"/>
  <c r="AL91" i="12" s="1"/>
  <c r="AL93" i="12" s="1"/>
  <c r="AX28" i="9"/>
  <c r="AL27" i="9"/>
  <c r="AL54" i="9"/>
  <c r="AL56" i="9" s="1"/>
  <c r="AL58" i="9" s="1"/>
  <c r="AM13" i="9"/>
  <c r="AL34" i="9"/>
  <c r="AL18" i="12" s="1"/>
  <c r="AL17" i="9"/>
  <c r="AK26" i="9"/>
  <c r="AK29" i="9" s="1"/>
  <c r="AJ41" i="9"/>
  <c r="AK63" i="9"/>
  <c r="AK69" i="9"/>
  <c r="T173" i="12"/>
  <c r="T58" i="26"/>
  <c r="T82" i="26" s="1"/>
  <c r="T46" i="12"/>
  <c r="T35" i="26"/>
  <c r="T66" i="12"/>
  <c r="T100" i="12"/>
  <c r="T102" i="12" s="1"/>
  <c r="T112" i="12" s="1"/>
  <c r="T40" i="26" s="1"/>
  <c r="U30" i="26"/>
  <c r="U77" i="9"/>
  <c r="U23" i="26"/>
  <c r="U65" i="26" s="1"/>
  <c r="U23" i="12"/>
  <c r="U17" i="26"/>
  <c r="U29" i="12"/>
  <c r="U155" i="12" s="1"/>
  <c r="U176" i="12" s="1"/>
  <c r="U53" i="14"/>
  <c r="U65" i="14" s="1"/>
  <c r="T176" i="12"/>
  <c r="U79" i="14"/>
  <c r="V75" i="14"/>
  <c r="V70" i="9"/>
  <c r="V11" i="14"/>
  <c r="V51" i="14" s="1"/>
  <c r="U26" i="14"/>
  <c r="U21" i="14"/>
  <c r="W40" i="9"/>
  <c r="W42" i="9" s="1"/>
  <c r="W11" i="26" s="1"/>
  <c r="W31" i="14"/>
  <c r="U106" i="12"/>
  <c r="U113" i="12" s="1"/>
  <c r="U41" i="26" s="1"/>
  <c r="U36" i="12"/>
  <c r="U18" i="14"/>
  <c r="V60" i="12"/>
  <c r="V12" i="12"/>
  <c r="V75" i="9"/>
  <c r="V26" i="12"/>
  <c r="V27" i="12" s="1"/>
  <c r="X16" i="9"/>
  <c r="W48" i="9"/>
  <c r="W50" i="9" s="1"/>
  <c r="V59" i="14" l="1"/>
  <c r="V61" i="14" s="1"/>
  <c r="V63" i="14"/>
  <c r="AO6" i="14"/>
  <c r="AP7" i="14"/>
  <c r="AN5" i="14"/>
  <c r="AN4" i="14"/>
  <c r="U151" i="12"/>
  <c r="U153" i="12" s="1"/>
  <c r="U147" i="12"/>
  <c r="AO92" i="12"/>
  <c r="AL87" i="12"/>
  <c r="AL89" i="12" s="1"/>
  <c r="AL95" i="12" s="1"/>
  <c r="AL20" i="12"/>
  <c r="AN88" i="12"/>
  <c r="R162" i="12"/>
  <c r="R47" i="26"/>
  <c r="R49" i="26" s="1"/>
  <c r="R51" i="26" s="1"/>
  <c r="R81" i="26" s="1"/>
  <c r="S114" i="12"/>
  <c r="S116" i="12" s="1"/>
  <c r="T68" i="12"/>
  <c r="T70" i="12" s="1"/>
  <c r="AO5" i="12"/>
  <c r="AO4" i="12"/>
  <c r="AO152" i="12"/>
  <c r="AL75" i="12"/>
  <c r="AL58" i="12"/>
  <c r="AM56" i="12"/>
  <c r="AQ7" i="12"/>
  <c r="AP6" i="12"/>
  <c r="AP41" i="12" s="1"/>
  <c r="AK21" i="12"/>
  <c r="AK111" i="12"/>
  <c r="AK39" i="26" s="1"/>
  <c r="AL36" i="9"/>
  <c r="AL14" i="26" s="1"/>
  <c r="AN13" i="9"/>
  <c r="AM17" i="9"/>
  <c r="AM34" i="9"/>
  <c r="AM18" i="12" s="1"/>
  <c r="AK41" i="9"/>
  <c r="AL26" i="9"/>
  <c r="AL29" i="9" s="1"/>
  <c r="AL63" i="9"/>
  <c r="AL69" i="9"/>
  <c r="AY30" i="9"/>
  <c r="AY55" i="9" s="1"/>
  <c r="AM54" i="9"/>
  <c r="AM56" i="9" s="1"/>
  <c r="AM58" i="9" s="1"/>
  <c r="AN23" i="9"/>
  <c r="AM35" i="9"/>
  <c r="AM19" i="12" s="1"/>
  <c r="AM91" i="12" s="1"/>
  <c r="AM93" i="12" s="1"/>
  <c r="AM27" i="9"/>
  <c r="AY28" i="9"/>
  <c r="U24" i="12"/>
  <c r="U64" i="12"/>
  <c r="U77" i="12" s="1"/>
  <c r="U78" i="12" s="1"/>
  <c r="U99" i="12" s="1"/>
  <c r="U101" i="12" s="1"/>
  <c r="U139" i="12"/>
  <c r="U141" i="12" s="1"/>
  <c r="U175" i="12"/>
  <c r="U64" i="26"/>
  <c r="U18" i="26"/>
  <c r="U85" i="26"/>
  <c r="W12" i="26"/>
  <c r="V74" i="9"/>
  <c r="V76" i="9" s="1"/>
  <c r="V23" i="26" s="1"/>
  <c r="V65" i="26" s="1"/>
  <c r="V29" i="26"/>
  <c r="V72" i="9"/>
  <c r="W35" i="14"/>
  <c r="W57" i="14" s="1"/>
  <c r="W32" i="14"/>
  <c r="U27" i="14"/>
  <c r="U71" i="14"/>
  <c r="W11" i="12"/>
  <c r="V20" i="14"/>
  <c r="V69" i="14" s="1"/>
  <c r="V77" i="14" s="1"/>
  <c r="V17" i="14"/>
  <c r="V90" i="14" s="1"/>
  <c r="V12" i="14"/>
  <c r="V76" i="12"/>
  <c r="V62" i="12"/>
  <c r="V35" i="12"/>
  <c r="W62" i="9"/>
  <c r="W64" i="9" s="1"/>
  <c r="W20" i="26" s="1"/>
  <c r="W21" i="26" s="1"/>
  <c r="W68" i="9"/>
  <c r="X18" i="9"/>
  <c r="X19" i="9" s="1"/>
  <c r="AO5" i="14" l="1"/>
  <c r="AO4" i="14"/>
  <c r="AP6" i="14"/>
  <c r="AQ7" i="14"/>
  <c r="AL15" i="26"/>
  <c r="AP92" i="12"/>
  <c r="AM20" i="12"/>
  <c r="AM87" i="12"/>
  <c r="AM89" i="12" s="1"/>
  <c r="AM95" i="12" s="1"/>
  <c r="AO88" i="12"/>
  <c r="R71" i="26"/>
  <c r="V40" i="12"/>
  <c r="V43" i="12" s="1"/>
  <c r="V82" i="12"/>
  <c r="V110" i="12" s="1"/>
  <c r="V38" i="26" s="1"/>
  <c r="S127" i="12"/>
  <c r="S47" i="26" s="1"/>
  <c r="S49" i="26" s="1"/>
  <c r="S51" i="26" s="1"/>
  <c r="S81" i="26" s="1"/>
  <c r="S117" i="12"/>
  <c r="AF69" i="12"/>
  <c r="T71" i="12"/>
  <c r="T72" i="12" s="1"/>
  <c r="T109" i="12" s="1"/>
  <c r="T37" i="26" s="1"/>
  <c r="T42" i="26" s="1"/>
  <c r="T44" i="26" s="1"/>
  <c r="T45" i="26" s="1"/>
  <c r="S124" i="12"/>
  <c r="S125" i="12" s="1"/>
  <c r="T123" i="12" s="1"/>
  <c r="AP4" i="12"/>
  <c r="AP5" i="12"/>
  <c r="AP152" i="12"/>
  <c r="AQ6" i="12"/>
  <c r="AQ41" i="12" s="1"/>
  <c r="AR7" i="12"/>
  <c r="AM75" i="12"/>
  <c r="AM58" i="12"/>
  <c r="AN56" i="12"/>
  <c r="AL21" i="12"/>
  <c r="AL111" i="12"/>
  <c r="AL39" i="26" s="1"/>
  <c r="AZ30" i="9"/>
  <c r="AZ55" i="9" s="1"/>
  <c r="AN35" i="9"/>
  <c r="AN19" i="12" s="1"/>
  <c r="AN91" i="12" s="1"/>
  <c r="AN93" i="12" s="1"/>
  <c r="AO23" i="9"/>
  <c r="AN54" i="9"/>
  <c r="AN56" i="9" s="1"/>
  <c r="AN58" i="9" s="1"/>
  <c r="AN27" i="9"/>
  <c r="AZ28" i="9"/>
  <c r="AL41" i="9"/>
  <c r="AM26" i="9"/>
  <c r="AM29" i="9" s="1"/>
  <c r="AN17" i="9"/>
  <c r="AO13" i="9"/>
  <c r="AN34" i="9"/>
  <c r="AN18" i="12" s="1"/>
  <c r="AM63" i="9"/>
  <c r="AM69" i="9"/>
  <c r="AM36" i="9"/>
  <c r="AM14" i="26" s="1"/>
  <c r="AM15" i="26" s="1"/>
  <c r="U100" i="12"/>
  <c r="U102" i="12" s="1"/>
  <c r="U112" i="12" s="1"/>
  <c r="U40" i="26" s="1"/>
  <c r="U66" i="12"/>
  <c r="U45" i="12"/>
  <c r="U32" i="26"/>
  <c r="U34" i="26" s="1"/>
  <c r="U35" i="26" s="1"/>
  <c r="U173" i="12"/>
  <c r="U58" i="26"/>
  <c r="U82" i="26" s="1"/>
  <c r="V85" i="26"/>
  <c r="V23" i="12"/>
  <c r="V17" i="26"/>
  <c r="U84" i="26"/>
  <c r="V30" i="26"/>
  <c r="V29" i="12"/>
  <c r="V155" i="12" s="1"/>
  <c r="V77" i="9"/>
  <c r="V53" i="14"/>
  <c r="V65" i="14" s="1"/>
  <c r="V79" i="14"/>
  <c r="W75" i="14"/>
  <c r="V106" i="12"/>
  <c r="V113" i="12" s="1"/>
  <c r="V41" i="26" s="1"/>
  <c r="V36" i="12"/>
  <c r="V21" i="14"/>
  <c r="V26" i="14"/>
  <c r="X40" i="9"/>
  <c r="X42" i="9" s="1"/>
  <c r="X11" i="26" s="1"/>
  <c r="X31" i="14"/>
  <c r="W70" i="9"/>
  <c r="W11" i="14"/>
  <c r="W51" i="14" s="1"/>
  <c r="V18" i="14"/>
  <c r="W60" i="12"/>
  <c r="W12" i="12"/>
  <c r="W75" i="9"/>
  <c r="W26" i="12"/>
  <c r="W27" i="12" s="1"/>
  <c r="Y16" i="9"/>
  <c r="X48" i="9"/>
  <c r="X50" i="9" s="1"/>
  <c r="W59" i="14" l="1"/>
  <c r="W61" i="14" s="1"/>
  <c r="W63" i="14"/>
  <c r="AQ6" i="14"/>
  <c r="AR7" i="14"/>
  <c r="AP5" i="14"/>
  <c r="AP4" i="14"/>
  <c r="V139" i="12"/>
  <c r="V141" i="12" s="1"/>
  <c r="V173" i="12" s="1"/>
  <c r="V147" i="12"/>
  <c r="AQ92" i="12"/>
  <c r="AN87" i="12"/>
  <c r="AN89" i="12" s="1"/>
  <c r="AN95" i="12" s="1"/>
  <c r="AN20" i="12"/>
  <c r="AP88" i="12"/>
  <c r="T114" i="12"/>
  <c r="T116" i="12" s="1"/>
  <c r="S71" i="26"/>
  <c r="S129" i="12"/>
  <c r="S131" i="12" s="1"/>
  <c r="S172" i="12" s="1"/>
  <c r="U68" i="12"/>
  <c r="U70" i="12" s="1"/>
  <c r="AQ5" i="12"/>
  <c r="AQ4" i="12"/>
  <c r="AQ152" i="12"/>
  <c r="AN75" i="12"/>
  <c r="AN58" i="12"/>
  <c r="AO56" i="12"/>
  <c r="AR6" i="12"/>
  <c r="AR41" i="12" s="1"/>
  <c r="AS7" i="12"/>
  <c r="AM111" i="12"/>
  <c r="AM39" i="26" s="1"/>
  <c r="AN36" i="9"/>
  <c r="AN14" i="26" s="1"/>
  <c r="AN15" i="26" s="1"/>
  <c r="AM21" i="12"/>
  <c r="AP23" i="9"/>
  <c r="BA30" i="9"/>
  <c r="BA55" i="9" s="1"/>
  <c r="AO35" i="9"/>
  <c r="AO19" i="12" s="1"/>
  <c r="AO91" i="12" s="1"/>
  <c r="AO93" i="12" s="1"/>
  <c r="AO54" i="9"/>
  <c r="AO56" i="9" s="1"/>
  <c r="AO58" i="9" s="1"/>
  <c r="BA28" i="9"/>
  <c r="AO27" i="9"/>
  <c r="AO34" i="9"/>
  <c r="AP13" i="9"/>
  <c r="AO17" i="9"/>
  <c r="AN26" i="9"/>
  <c r="AN29" i="9" s="1"/>
  <c r="AM41" i="9"/>
  <c r="AN63" i="9"/>
  <c r="AN69" i="9"/>
  <c r="U46" i="12"/>
  <c r="V58" i="26"/>
  <c r="X12" i="26"/>
  <c r="V151" i="12"/>
  <c r="V153" i="12" s="1"/>
  <c r="V24" i="12"/>
  <c r="V64" i="12"/>
  <c r="W74" i="9"/>
  <c r="W76" i="9" s="1"/>
  <c r="W29" i="26"/>
  <c r="V18" i="26"/>
  <c r="V176" i="12"/>
  <c r="X32" i="14"/>
  <c r="X35" i="14"/>
  <c r="X75" i="14" s="1"/>
  <c r="V27" i="14"/>
  <c r="V71" i="14"/>
  <c r="W72" i="9"/>
  <c r="W12" i="14"/>
  <c r="W20" i="14"/>
  <c r="W69" i="14" s="1"/>
  <c r="W77" i="14" s="1"/>
  <c r="W17" i="14"/>
  <c r="W90" i="14" s="1"/>
  <c r="W76" i="12"/>
  <c r="W62" i="12"/>
  <c r="W35" i="12"/>
  <c r="X11" i="12"/>
  <c r="X62" i="9"/>
  <c r="X64" i="9" s="1"/>
  <c r="X20" i="26" s="1"/>
  <c r="X21" i="26" s="1"/>
  <c r="X68" i="9"/>
  <c r="Y18" i="9"/>
  <c r="Y19" i="9" s="1"/>
  <c r="AS7" i="14" l="1"/>
  <c r="AR6" i="14"/>
  <c r="AQ4" i="14"/>
  <c r="AQ5" i="14"/>
  <c r="AN111" i="12"/>
  <c r="AN39" i="26" s="1"/>
  <c r="AR92" i="12"/>
  <c r="AO36" i="9"/>
  <c r="AO14" i="26" s="1"/>
  <c r="AO15" i="26" s="1"/>
  <c r="AO18" i="12"/>
  <c r="AQ88" i="12"/>
  <c r="T117" i="12"/>
  <c r="T124" i="12"/>
  <c r="T125" i="12" s="1"/>
  <c r="U123" i="12" s="1"/>
  <c r="W40" i="12"/>
  <c r="W43" i="12" s="1"/>
  <c r="W82" i="12"/>
  <c r="W110" i="12" s="1"/>
  <c r="W38" i="26" s="1"/>
  <c r="T127" i="12"/>
  <c r="T47" i="26" s="1"/>
  <c r="T49" i="26" s="1"/>
  <c r="T51" i="26" s="1"/>
  <c r="T81" i="26" s="1"/>
  <c r="S162" i="12"/>
  <c r="AG69" i="12"/>
  <c r="U71" i="12"/>
  <c r="U72" i="12" s="1"/>
  <c r="U109" i="12" s="1"/>
  <c r="AS6" i="12"/>
  <c r="AS41" i="12" s="1"/>
  <c r="AT7" i="12"/>
  <c r="AR4" i="12"/>
  <c r="AR5" i="12"/>
  <c r="AR152" i="12"/>
  <c r="AO75" i="12"/>
  <c r="AO58" i="12"/>
  <c r="AP56" i="12"/>
  <c r="T129" i="12"/>
  <c r="T131" i="12" s="1"/>
  <c r="AN21" i="12"/>
  <c r="AO26" i="9"/>
  <c r="AO29" i="9" s="1"/>
  <c r="AN41" i="9"/>
  <c r="BB28" i="9"/>
  <c r="BB30" i="9"/>
  <c r="BB55" i="9" s="1"/>
  <c r="AQ23" i="9"/>
  <c r="AP54" i="9"/>
  <c r="AP56" i="9" s="1"/>
  <c r="AP58" i="9" s="1"/>
  <c r="AP27" i="9"/>
  <c r="AP35" i="9"/>
  <c r="AP19" i="12" s="1"/>
  <c r="AP91" i="12" s="1"/>
  <c r="AP93" i="12" s="1"/>
  <c r="AP34" i="9"/>
  <c r="AP18" i="12" s="1"/>
  <c r="AP17" i="9"/>
  <c r="AQ13" i="9"/>
  <c r="AO63" i="9"/>
  <c r="AO69" i="9"/>
  <c r="V45" i="12"/>
  <c r="V32" i="26"/>
  <c r="V34" i="26" s="1"/>
  <c r="V35" i="26" s="1"/>
  <c r="V175" i="12"/>
  <c r="V64" i="26"/>
  <c r="V84" i="26" s="1"/>
  <c r="W30" i="26"/>
  <c r="V82" i="26"/>
  <c r="W77" i="9"/>
  <c r="W23" i="26"/>
  <c r="W65" i="26" s="1"/>
  <c r="W23" i="12"/>
  <c r="W147" i="12" s="1"/>
  <c r="W17" i="26"/>
  <c r="V77" i="12"/>
  <c r="V78" i="12" s="1"/>
  <c r="V99" i="12" s="1"/>
  <c r="V66" i="12"/>
  <c r="W29" i="12"/>
  <c r="W155" i="12" s="1"/>
  <c r="W176" i="12" s="1"/>
  <c r="W53" i="14"/>
  <c r="W65" i="14" s="1"/>
  <c r="W79" i="14"/>
  <c r="X57" i="14"/>
  <c r="Y40" i="9"/>
  <c r="Y42" i="9" s="1"/>
  <c r="Y11" i="26" s="1"/>
  <c r="Y31" i="14"/>
  <c r="X60" i="12"/>
  <c r="X12" i="12"/>
  <c r="W18" i="14"/>
  <c r="W106" i="12"/>
  <c r="W113" i="12" s="1"/>
  <c r="W41" i="26" s="1"/>
  <c r="W36" i="12"/>
  <c r="X70" i="9"/>
  <c r="X11" i="14"/>
  <c r="X51" i="14" s="1"/>
  <c r="W21" i="14"/>
  <c r="W26" i="14"/>
  <c r="X75" i="9"/>
  <c r="X26" i="12"/>
  <c r="X27" i="12" s="1"/>
  <c r="Z16" i="9"/>
  <c r="Y48" i="9"/>
  <c r="Y50" i="9" s="1"/>
  <c r="X59" i="14" l="1"/>
  <c r="X61" i="14" s="1"/>
  <c r="X63" i="14"/>
  <c r="AR5" i="14"/>
  <c r="AR4" i="14"/>
  <c r="AS6" i="14"/>
  <c r="AT7" i="14"/>
  <c r="AS92" i="12"/>
  <c r="AO87" i="12"/>
  <c r="AO89" i="12" s="1"/>
  <c r="AO95" i="12" s="1"/>
  <c r="AO20" i="12"/>
  <c r="AP87" i="12"/>
  <c r="AP89" i="12" s="1"/>
  <c r="AP95" i="12" s="1"/>
  <c r="AP20" i="12"/>
  <c r="AR88" i="12"/>
  <c r="T71" i="26"/>
  <c r="T162" i="12"/>
  <c r="U37" i="26"/>
  <c r="U42" i="26" s="1"/>
  <c r="U44" i="26" s="1"/>
  <c r="U45" i="26" s="1"/>
  <c r="U114" i="12"/>
  <c r="U116" i="12" s="1"/>
  <c r="U127" i="12" s="1"/>
  <c r="U129" i="12" s="1"/>
  <c r="U131" i="12" s="1"/>
  <c r="V68" i="12"/>
  <c r="V70" i="12" s="1"/>
  <c r="T172" i="12"/>
  <c r="AU7" i="12"/>
  <c r="AT6" i="12"/>
  <c r="AT41" i="12" s="1"/>
  <c r="AP75" i="12"/>
  <c r="AP58" i="12"/>
  <c r="AQ56" i="12"/>
  <c r="AS5" i="12"/>
  <c r="AS4" i="12"/>
  <c r="AS152" i="12"/>
  <c r="AP36" i="9"/>
  <c r="AP14" i="26" s="1"/>
  <c r="AQ34" i="9"/>
  <c r="AQ18" i="12" s="1"/>
  <c r="AR13" i="9"/>
  <c r="AQ17" i="9"/>
  <c r="AP63" i="9"/>
  <c r="AP69" i="9"/>
  <c r="BC30" i="9"/>
  <c r="BC55" i="9" s="1"/>
  <c r="BC28" i="9"/>
  <c r="AQ27" i="9"/>
  <c r="AQ35" i="9"/>
  <c r="AQ19" i="12" s="1"/>
  <c r="AQ91" i="12" s="1"/>
  <c r="AQ93" i="12" s="1"/>
  <c r="AR23" i="9"/>
  <c r="AQ54" i="9"/>
  <c r="AQ56" i="9" s="1"/>
  <c r="AQ58" i="9" s="1"/>
  <c r="AO41" i="9"/>
  <c r="AP26" i="9"/>
  <c r="AP29" i="9" s="1"/>
  <c r="W24" i="12"/>
  <c r="V46" i="12"/>
  <c r="W151" i="12"/>
  <c r="W153" i="12" s="1"/>
  <c r="W64" i="12"/>
  <c r="W77" i="12" s="1"/>
  <c r="W78" i="12" s="1"/>
  <c r="W99" i="12" s="1"/>
  <c r="W101" i="12" s="1"/>
  <c r="W139" i="12"/>
  <c r="W141" i="12" s="1"/>
  <c r="W18" i="26"/>
  <c r="W85" i="26"/>
  <c r="X74" i="9"/>
  <c r="X76" i="9" s="1"/>
  <c r="X29" i="26"/>
  <c r="V101" i="12"/>
  <c r="V100" i="12"/>
  <c r="Y12" i="26"/>
  <c r="X72" i="9"/>
  <c r="Y32" i="14"/>
  <c r="Y35" i="14"/>
  <c r="Y57" i="14" s="1"/>
  <c r="W27" i="14"/>
  <c r="W71" i="14"/>
  <c r="X35" i="12"/>
  <c r="X76" i="12"/>
  <c r="X62" i="12"/>
  <c r="X20" i="14"/>
  <c r="X69" i="14" s="1"/>
  <c r="X77" i="14" s="1"/>
  <c r="X17" i="14"/>
  <c r="X90" i="14" s="1"/>
  <c r="X12" i="14"/>
  <c r="Y11" i="12"/>
  <c r="Y62" i="9"/>
  <c r="Y64" i="9" s="1"/>
  <c r="Y20" i="26" s="1"/>
  <c r="Y21" i="26" s="1"/>
  <c r="Y68" i="9"/>
  <c r="Z18" i="9"/>
  <c r="Z19" i="9" s="1"/>
  <c r="AT6" i="14" l="1"/>
  <c r="AU7" i="14"/>
  <c r="AS5" i="14"/>
  <c r="AS4" i="14"/>
  <c r="AQ15" i="26"/>
  <c r="AP15" i="26"/>
  <c r="AT92" i="12"/>
  <c r="AQ87" i="12"/>
  <c r="AQ89" i="12" s="1"/>
  <c r="AQ95" i="12" s="1"/>
  <c r="AQ20" i="12"/>
  <c r="AO21" i="12"/>
  <c r="AO111" i="12"/>
  <c r="AO39" i="26" s="1"/>
  <c r="AS88" i="12"/>
  <c r="U162" i="12"/>
  <c r="X40" i="12"/>
  <c r="X43" i="12" s="1"/>
  <c r="X82" i="12"/>
  <c r="X110" i="12" s="1"/>
  <c r="X38" i="26" s="1"/>
  <c r="U47" i="26"/>
  <c r="U49" i="26" s="1"/>
  <c r="U51" i="26" s="1"/>
  <c r="U81" i="26" s="1"/>
  <c r="U124" i="12"/>
  <c r="U125" i="12" s="1"/>
  <c r="V123" i="12" s="1"/>
  <c r="U172" i="12"/>
  <c r="U117" i="12"/>
  <c r="AH69" i="12"/>
  <c r="V71" i="12"/>
  <c r="V72" i="12" s="1"/>
  <c r="V109" i="12" s="1"/>
  <c r="V37" i="26" s="1"/>
  <c r="AQ75" i="12"/>
  <c r="AQ58" i="12"/>
  <c r="AR56" i="12"/>
  <c r="AT5" i="12"/>
  <c r="AT4" i="12"/>
  <c r="AT152" i="12"/>
  <c r="AU6" i="12"/>
  <c r="AU41" i="12" s="1"/>
  <c r="AV7" i="12"/>
  <c r="AP21" i="12"/>
  <c r="AP111" i="12"/>
  <c r="AP39" i="26" s="1"/>
  <c r="AQ26" i="9"/>
  <c r="AQ29" i="9" s="1"/>
  <c r="AP41" i="9"/>
  <c r="AS13" i="9"/>
  <c r="AR34" i="9"/>
  <c r="AR18" i="12" s="1"/>
  <c r="AR17" i="9"/>
  <c r="AQ63" i="9"/>
  <c r="AQ69" i="9"/>
  <c r="AQ36" i="9"/>
  <c r="AQ14" i="26" s="1"/>
  <c r="BD28" i="9"/>
  <c r="BD30" i="9"/>
  <c r="BD55" i="9" s="1"/>
  <c r="AS23" i="9"/>
  <c r="AR27" i="9"/>
  <c r="AR35" i="9"/>
  <c r="AR19" i="12" s="1"/>
  <c r="AR91" i="12" s="1"/>
  <c r="AR93" i="12" s="1"/>
  <c r="AR54" i="9"/>
  <c r="AR56" i="9" s="1"/>
  <c r="AR58" i="9" s="1"/>
  <c r="W45" i="12"/>
  <c r="W32" i="26"/>
  <c r="W34" i="26" s="1"/>
  <c r="W35" i="26" s="1"/>
  <c r="W100" i="12"/>
  <c r="W102" i="12" s="1"/>
  <c r="W112" i="12" s="1"/>
  <c r="W40" i="26" s="1"/>
  <c r="W66" i="12"/>
  <c r="W175" i="12"/>
  <c r="W64" i="26"/>
  <c r="W84" i="26" s="1"/>
  <c r="W173" i="12"/>
  <c r="W58" i="26"/>
  <c r="W82" i="26" s="1"/>
  <c r="V102" i="12"/>
  <c r="V112" i="12" s="1"/>
  <c r="X23" i="12"/>
  <c r="X17" i="26"/>
  <c r="X30" i="26"/>
  <c r="X77" i="9"/>
  <c r="X23" i="26"/>
  <c r="X65" i="26" s="1"/>
  <c r="X53" i="14"/>
  <c r="X65" i="14" s="1"/>
  <c r="X79" i="14"/>
  <c r="Y75" i="14"/>
  <c r="X29" i="12"/>
  <c r="X106" i="12"/>
  <c r="X113" i="12" s="1"/>
  <c r="X41" i="26" s="1"/>
  <c r="X36" i="12"/>
  <c r="Z40" i="9"/>
  <c r="Z42" i="9" s="1"/>
  <c r="Z11" i="26" s="1"/>
  <c r="Z31" i="14"/>
  <c r="Y70" i="9"/>
  <c r="Y11" i="14"/>
  <c r="Y51" i="14" s="1"/>
  <c r="Y60" i="12"/>
  <c r="Y12" i="12"/>
  <c r="X18" i="14"/>
  <c r="X26" i="14"/>
  <c r="X21" i="14"/>
  <c r="Y75" i="9"/>
  <c r="Y26" i="12"/>
  <c r="Y27" i="12" s="1"/>
  <c r="AA16" i="9"/>
  <c r="Z48" i="9"/>
  <c r="Z50" i="9" s="1"/>
  <c r="Y59" i="14" l="1"/>
  <c r="Y61" i="14" s="1"/>
  <c r="Y63" i="14"/>
  <c r="AU6" i="14"/>
  <c r="AV7" i="14"/>
  <c r="AT4" i="14"/>
  <c r="AT5" i="14"/>
  <c r="X139" i="12"/>
  <c r="X141" i="12" s="1"/>
  <c r="X147" i="12"/>
  <c r="AU92" i="12"/>
  <c r="AR87" i="12"/>
  <c r="AR89" i="12" s="1"/>
  <c r="AR95" i="12" s="1"/>
  <c r="AR20" i="12"/>
  <c r="AT88" i="12"/>
  <c r="U71" i="26"/>
  <c r="W68" i="12"/>
  <c r="W70" i="12" s="1"/>
  <c r="AV6" i="12"/>
  <c r="AV41" i="12" s="1"/>
  <c r="AW7" i="12"/>
  <c r="AU4" i="12"/>
  <c r="AU5" i="12"/>
  <c r="AU152" i="12"/>
  <c r="AR75" i="12"/>
  <c r="AR58" i="12"/>
  <c r="AS56" i="12"/>
  <c r="AQ111" i="12"/>
  <c r="AQ39" i="26" s="1"/>
  <c r="AQ21" i="12"/>
  <c r="AS34" i="9"/>
  <c r="AS18" i="12" s="1"/>
  <c r="AS17" i="9"/>
  <c r="AT13" i="9"/>
  <c r="BE28" i="9"/>
  <c r="BE30" i="9"/>
  <c r="BE55" i="9" s="1"/>
  <c r="AS54" i="9"/>
  <c r="AS56" i="9" s="1"/>
  <c r="AS58" i="9" s="1"/>
  <c r="AS27" i="9"/>
  <c r="AT23" i="9"/>
  <c r="AS35" i="9"/>
  <c r="AS19" i="12" s="1"/>
  <c r="AS91" i="12" s="1"/>
  <c r="AS93" i="12" s="1"/>
  <c r="AR63" i="9"/>
  <c r="AR69" i="9"/>
  <c r="AR26" i="9"/>
  <c r="AR29" i="9" s="1"/>
  <c r="AQ41" i="9"/>
  <c r="AR36" i="9"/>
  <c r="AR14" i="26" s="1"/>
  <c r="AR15" i="26" s="1"/>
  <c r="W46" i="12"/>
  <c r="V114" i="12"/>
  <c r="V116" i="12" s="1"/>
  <c r="V127" i="12" s="1"/>
  <c r="V40" i="26"/>
  <c r="V42" i="26" s="1"/>
  <c r="V44" i="26" s="1"/>
  <c r="V45" i="26" s="1"/>
  <c r="X173" i="12"/>
  <c r="X58" i="26"/>
  <c r="X64" i="12"/>
  <c r="X77" i="12" s="1"/>
  <c r="X78" i="12" s="1"/>
  <c r="X99" i="12" s="1"/>
  <c r="X100" i="12" s="1"/>
  <c r="X24" i="12"/>
  <c r="X151" i="12"/>
  <c r="X153" i="12" s="1"/>
  <c r="Z12" i="26"/>
  <c r="X18" i="26"/>
  <c r="X85" i="26"/>
  <c r="Y72" i="9"/>
  <c r="Y29" i="26"/>
  <c r="Y74" i="9"/>
  <c r="Y76" i="9" s="1"/>
  <c r="Y23" i="26" s="1"/>
  <c r="Y65" i="26" s="1"/>
  <c r="X155" i="12"/>
  <c r="X176" i="12" s="1"/>
  <c r="Z32" i="14"/>
  <c r="Z35" i="14"/>
  <c r="Z75" i="14" s="1"/>
  <c r="X27" i="14"/>
  <c r="X71" i="14"/>
  <c r="Y20" i="14"/>
  <c r="Y69" i="14" s="1"/>
  <c r="Y77" i="14" s="1"/>
  <c r="Y12" i="14"/>
  <c r="Y17" i="14"/>
  <c r="Y90" i="14" s="1"/>
  <c r="Y76" i="12"/>
  <c r="Y62" i="12"/>
  <c r="Y35" i="12"/>
  <c r="Z11" i="12"/>
  <c r="Z62" i="9"/>
  <c r="Z64" i="9" s="1"/>
  <c r="Z20" i="26" s="1"/>
  <c r="Z21" i="26" s="1"/>
  <c r="Z68" i="9"/>
  <c r="AA18" i="9"/>
  <c r="AA19" i="9" s="1"/>
  <c r="AU4" i="14" l="1"/>
  <c r="AU5" i="14"/>
  <c r="AW7" i="14"/>
  <c r="AV6" i="14"/>
  <c r="AV92" i="12"/>
  <c r="AR111" i="12"/>
  <c r="AR39" i="26" s="1"/>
  <c r="AS87" i="12"/>
  <c r="AS89" i="12" s="1"/>
  <c r="AS95" i="12" s="1"/>
  <c r="AS20" i="12"/>
  <c r="AU88" i="12"/>
  <c r="Y40" i="12"/>
  <c r="Y43" i="12" s="1"/>
  <c r="Y82" i="12"/>
  <c r="Y110" i="12" s="1"/>
  <c r="Y38" i="26" s="1"/>
  <c r="AI69" i="12"/>
  <c r="W71" i="12"/>
  <c r="W72" i="12" s="1"/>
  <c r="W109" i="12" s="1"/>
  <c r="AW6" i="12"/>
  <c r="AW41" i="12" s="1"/>
  <c r="AX7" i="12"/>
  <c r="AS75" i="12"/>
  <c r="AS58" i="12"/>
  <c r="AT56" i="12"/>
  <c r="AV4" i="12"/>
  <c r="AV5" i="12"/>
  <c r="AV152" i="12"/>
  <c r="AR21" i="12"/>
  <c r="V124" i="12"/>
  <c r="V125" i="12" s="1"/>
  <c r="W123" i="12" s="1"/>
  <c r="V117" i="12"/>
  <c r="AS63" i="9"/>
  <c r="AS69" i="9"/>
  <c r="AS36" i="9"/>
  <c r="AS14" i="26" s="1"/>
  <c r="AS15" i="26" s="1"/>
  <c r="BF30" i="9"/>
  <c r="BF55" i="9" s="1"/>
  <c r="BF28" i="9"/>
  <c r="AT27" i="9"/>
  <c r="AU23" i="9"/>
  <c r="AT35" i="9"/>
  <c r="AT19" i="12" s="1"/>
  <c r="AT91" i="12" s="1"/>
  <c r="AT93" i="12" s="1"/>
  <c r="AT54" i="9"/>
  <c r="AT56" i="9" s="1"/>
  <c r="AT58" i="9" s="1"/>
  <c r="AS26" i="9"/>
  <c r="AS29" i="9" s="1"/>
  <c r="AR41" i="9"/>
  <c r="AT17" i="9"/>
  <c r="AT34" i="9"/>
  <c r="AT18" i="12" s="1"/>
  <c r="AU13" i="9"/>
  <c r="X45" i="12"/>
  <c r="X46" i="12" s="1"/>
  <c r="X32" i="26"/>
  <c r="X34" i="26" s="1"/>
  <c r="X35" i="26" s="1"/>
  <c r="X175" i="12"/>
  <c r="X64" i="26"/>
  <c r="X84" i="26" s="1"/>
  <c r="V129" i="12"/>
  <c r="V131" i="12" s="1"/>
  <c r="V162" i="12" s="1"/>
  <c r="V47" i="26"/>
  <c r="V49" i="26" s="1"/>
  <c r="V51" i="26" s="1"/>
  <c r="X66" i="12"/>
  <c r="X101" i="12"/>
  <c r="X102" i="12" s="1"/>
  <c r="X112" i="12" s="1"/>
  <c r="X40" i="26" s="1"/>
  <c r="Y85" i="26"/>
  <c r="X82" i="26"/>
  <c r="Y23" i="12"/>
  <c r="Y147" i="12" s="1"/>
  <c r="Y17" i="26"/>
  <c r="Y30" i="26"/>
  <c r="Y77" i="9"/>
  <c r="Y29" i="12"/>
  <c r="Y155" i="12" s="1"/>
  <c r="Y176" i="12" s="1"/>
  <c r="Y53" i="14"/>
  <c r="Y65" i="14" s="1"/>
  <c r="Y79" i="14"/>
  <c r="Z57" i="14"/>
  <c r="AA40" i="9"/>
  <c r="AA42" i="9" s="1"/>
  <c r="AA11" i="26" s="1"/>
  <c r="AA31" i="14"/>
  <c r="Z60" i="12"/>
  <c r="Z12" i="12"/>
  <c r="Y18" i="14"/>
  <c r="Z70" i="9"/>
  <c r="Z11" i="14"/>
  <c r="Z51" i="14" s="1"/>
  <c r="Y106" i="12"/>
  <c r="Y113" i="12" s="1"/>
  <c r="Y41" i="26" s="1"/>
  <c r="Y36" i="12"/>
  <c r="Y26" i="14"/>
  <c r="Y21" i="14"/>
  <c r="Z75" i="9"/>
  <c r="Z26" i="12"/>
  <c r="Z27" i="12" s="1"/>
  <c r="AB16" i="9"/>
  <c r="AB18" i="9" s="1"/>
  <c r="AA48" i="9"/>
  <c r="AA50" i="9" s="1"/>
  <c r="Z59" i="14" l="1"/>
  <c r="Z61" i="14" s="1"/>
  <c r="Z63" i="14"/>
  <c r="AV4" i="14"/>
  <c r="AV5" i="14"/>
  <c r="AW6" i="14"/>
  <c r="AX7" i="14"/>
  <c r="AW92" i="12"/>
  <c r="AT87" i="12"/>
  <c r="AT89" i="12" s="1"/>
  <c r="AT95" i="12" s="1"/>
  <c r="AT20" i="12"/>
  <c r="AV88" i="12"/>
  <c r="W37" i="26"/>
  <c r="W42" i="26" s="1"/>
  <c r="W44" i="26" s="1"/>
  <c r="W45" i="26" s="1"/>
  <c r="W114" i="12"/>
  <c r="W116" i="12" s="1"/>
  <c r="X68" i="12"/>
  <c r="X70" i="12" s="1"/>
  <c r="AT75" i="12"/>
  <c r="AT58" i="12"/>
  <c r="AU56" i="12"/>
  <c r="AY7" i="12"/>
  <c r="AX6" i="12"/>
  <c r="AX41" i="12" s="1"/>
  <c r="AW4" i="12"/>
  <c r="AW5" i="12"/>
  <c r="AW152" i="12"/>
  <c r="AS21" i="12"/>
  <c r="AS111" i="12"/>
  <c r="AS39" i="26" s="1"/>
  <c r="AT36" i="9"/>
  <c r="AT14" i="26" s="1"/>
  <c r="AV13" i="9"/>
  <c r="AU17" i="9"/>
  <c r="AU34" i="9"/>
  <c r="AU18" i="12" s="1"/>
  <c r="AT26" i="9"/>
  <c r="AT29" i="9" s="1"/>
  <c r="AS41" i="9"/>
  <c r="AT63" i="9"/>
  <c r="AT69" i="9"/>
  <c r="BG30" i="9"/>
  <c r="BG55" i="9" s="1"/>
  <c r="BG28" i="9"/>
  <c r="AU54" i="9"/>
  <c r="AU56" i="9" s="1"/>
  <c r="AU58" i="9" s="1"/>
  <c r="AV23" i="9"/>
  <c r="AU35" i="9"/>
  <c r="AU19" i="12" s="1"/>
  <c r="AU91" i="12" s="1"/>
  <c r="AU93" i="12" s="1"/>
  <c r="AU27" i="9"/>
  <c r="V172" i="12"/>
  <c r="V81" i="26"/>
  <c r="V71" i="26"/>
  <c r="Y18" i="26"/>
  <c r="AA12" i="26"/>
  <c r="Z72" i="9"/>
  <c r="Z29" i="26"/>
  <c r="Y24" i="12"/>
  <c r="Y151" i="12"/>
  <c r="Y153" i="12" s="1"/>
  <c r="Y64" i="12"/>
  <c r="Y139" i="12"/>
  <c r="Y141" i="12" s="1"/>
  <c r="AA32" i="14"/>
  <c r="AA35" i="14"/>
  <c r="AA75" i="14" s="1"/>
  <c r="Y27" i="14"/>
  <c r="Y71" i="14"/>
  <c r="Z74" i="9"/>
  <c r="Z76" i="9" s="1"/>
  <c r="Z23" i="26" s="1"/>
  <c r="Z65" i="26" s="1"/>
  <c r="Z20" i="14"/>
  <c r="Z69" i="14" s="1"/>
  <c r="Z77" i="14" s="1"/>
  <c r="Z17" i="14"/>
  <c r="Z90" i="14" s="1"/>
  <c r="Z12" i="14"/>
  <c r="Z35" i="12"/>
  <c r="AA11" i="12"/>
  <c r="Z76" i="12"/>
  <c r="Z62" i="12"/>
  <c r="AA62" i="9"/>
  <c r="AA64" i="9" s="1"/>
  <c r="AA20" i="26" s="1"/>
  <c r="AA21" i="26" s="1"/>
  <c r="AA68" i="9"/>
  <c r="AB19" i="9"/>
  <c r="AX6" i="14" l="1"/>
  <c r="AY7" i="14"/>
  <c r="AW5" i="14"/>
  <c r="AW4" i="14"/>
  <c r="AT15" i="26"/>
  <c r="AX92" i="12"/>
  <c r="AU20" i="12"/>
  <c r="AU87" i="12"/>
  <c r="AU89" i="12" s="1"/>
  <c r="AU95" i="12" s="1"/>
  <c r="AW88" i="12"/>
  <c r="Z40" i="12"/>
  <c r="Z43" i="12" s="1"/>
  <c r="Z82" i="12"/>
  <c r="Z110" i="12" s="1"/>
  <c r="Z38" i="26" s="1"/>
  <c r="W127" i="12"/>
  <c r="W129" i="12" s="1"/>
  <c r="W131" i="12" s="1"/>
  <c r="W172" i="12" s="1"/>
  <c r="W124" i="12"/>
  <c r="W125" i="12" s="1"/>
  <c r="X123" i="12" s="1"/>
  <c r="AJ69" i="12"/>
  <c r="X71" i="12"/>
  <c r="X72" i="12" s="1"/>
  <c r="X109" i="12" s="1"/>
  <c r="W117" i="12"/>
  <c r="AY6" i="12"/>
  <c r="AY41" i="12" s="1"/>
  <c r="AZ7" i="12"/>
  <c r="AU75" i="12"/>
  <c r="AU58" i="12"/>
  <c r="AV56" i="12"/>
  <c r="AX4" i="12"/>
  <c r="AX5" i="12"/>
  <c r="AX152" i="12"/>
  <c r="AT111" i="12"/>
  <c r="AT39" i="26" s="1"/>
  <c r="AT21" i="12"/>
  <c r="BH28" i="9"/>
  <c r="BH30" i="9"/>
  <c r="BH55" i="9" s="1"/>
  <c r="AV54" i="9"/>
  <c r="AV56" i="9" s="1"/>
  <c r="AV58" i="9" s="1"/>
  <c r="AW23" i="9"/>
  <c r="AV27" i="9"/>
  <c r="AV35" i="9"/>
  <c r="AV19" i="12" s="1"/>
  <c r="AV91" i="12" s="1"/>
  <c r="AV93" i="12" s="1"/>
  <c r="AU63" i="9"/>
  <c r="AU69" i="9"/>
  <c r="AU26" i="9"/>
  <c r="AU29" i="9" s="1"/>
  <c r="AT41" i="9"/>
  <c r="AU36" i="9"/>
  <c r="AU14" i="26" s="1"/>
  <c r="AU15" i="26" s="1"/>
  <c r="AW13" i="9"/>
  <c r="AV17" i="9"/>
  <c r="AV34" i="9"/>
  <c r="AV18" i="12" s="1"/>
  <c r="Y175" i="12"/>
  <c r="Y64" i="26"/>
  <c r="Y84" i="26" s="1"/>
  <c r="Y45" i="12"/>
  <c r="Y32" i="26"/>
  <c r="Y34" i="26" s="1"/>
  <c r="Y35" i="26" s="1"/>
  <c r="Y173" i="12"/>
  <c r="Y58" i="26"/>
  <c r="Y82" i="26" s="1"/>
  <c r="Y77" i="12"/>
  <c r="Y78" i="12" s="1"/>
  <c r="Y99" i="12" s="1"/>
  <c r="Y66" i="12"/>
  <c r="Z30" i="26"/>
  <c r="Z23" i="12"/>
  <c r="Z147" i="12" s="1"/>
  <c r="Z17" i="26"/>
  <c r="Z85" i="26"/>
  <c r="Z29" i="12"/>
  <c r="Z155" i="12" s="1"/>
  <c r="Z176" i="12" s="1"/>
  <c r="Z77" i="9"/>
  <c r="Z53" i="14"/>
  <c r="Z65" i="14" s="1"/>
  <c r="Z79" i="14"/>
  <c r="AA57" i="14"/>
  <c r="AB40" i="9"/>
  <c r="AB42" i="9" s="1"/>
  <c r="AB11" i="26" s="1"/>
  <c r="AB31" i="14"/>
  <c r="Z106" i="12"/>
  <c r="Z113" i="12" s="1"/>
  <c r="Z41" i="26" s="1"/>
  <c r="Z36" i="12"/>
  <c r="Z18" i="14"/>
  <c r="AA70" i="9"/>
  <c r="AA11" i="14"/>
  <c r="AA51" i="14" s="1"/>
  <c r="AA60" i="12"/>
  <c r="AA12" i="12"/>
  <c r="Z21" i="14"/>
  <c r="Z26" i="14"/>
  <c r="AA75" i="9"/>
  <c r="AA26" i="12"/>
  <c r="AA27" i="12" s="1"/>
  <c r="AC16" i="9"/>
  <c r="AC18" i="9" s="1"/>
  <c r="AC19" i="9" s="1"/>
  <c r="AB48" i="9"/>
  <c r="AB50" i="9" s="1"/>
  <c r="AA59" i="14" l="1"/>
  <c r="AA61" i="14" s="1"/>
  <c r="AA63" i="14"/>
  <c r="AX4" i="14"/>
  <c r="AX5" i="14"/>
  <c r="AY6" i="14"/>
  <c r="AZ7" i="14"/>
  <c r="AY92" i="12"/>
  <c r="AV87" i="12"/>
  <c r="AV89" i="12" s="1"/>
  <c r="AV95" i="12" s="1"/>
  <c r="AV20" i="12"/>
  <c r="AX88" i="12"/>
  <c r="W162" i="12"/>
  <c r="W47" i="26"/>
  <c r="W49" i="26" s="1"/>
  <c r="W51" i="26" s="1"/>
  <c r="W81" i="26" s="1"/>
  <c r="X37" i="26"/>
  <c r="X42" i="26" s="1"/>
  <c r="X44" i="26" s="1"/>
  <c r="X45" i="26" s="1"/>
  <c r="X114" i="12"/>
  <c r="X116" i="12" s="1"/>
  <c r="Y68" i="12"/>
  <c r="Y70" i="12" s="1"/>
  <c r="AV36" i="9"/>
  <c r="AV14" i="26" s="1"/>
  <c r="AV15" i="26" s="1"/>
  <c r="AV75" i="12"/>
  <c r="AV58" i="12"/>
  <c r="AW56" i="12"/>
  <c r="AZ6" i="12"/>
  <c r="AZ41" i="12" s="1"/>
  <c r="BA7" i="12"/>
  <c r="AY4" i="12"/>
  <c r="AY5" i="12"/>
  <c r="AY152" i="12"/>
  <c r="AU111" i="12"/>
  <c r="AU39" i="26" s="1"/>
  <c r="AU21" i="12"/>
  <c r="AW34" i="9"/>
  <c r="AW18" i="12" s="1"/>
  <c r="AW17" i="9"/>
  <c r="AX13" i="9"/>
  <c r="BI28" i="9"/>
  <c r="BI30" i="9"/>
  <c r="BI55" i="9" s="1"/>
  <c r="AW27" i="9"/>
  <c r="AX23" i="9"/>
  <c r="AW35" i="9"/>
  <c r="AW19" i="12" s="1"/>
  <c r="AW91" i="12" s="1"/>
  <c r="AW93" i="12" s="1"/>
  <c r="AW54" i="9"/>
  <c r="AW56" i="9" s="1"/>
  <c r="AW58" i="9" s="1"/>
  <c r="AV63" i="9"/>
  <c r="AV69" i="9"/>
  <c r="AU41" i="9"/>
  <c r="AV26" i="9"/>
  <c r="AV29" i="9" s="1"/>
  <c r="Y46" i="12"/>
  <c r="AB12" i="26"/>
  <c r="Z151" i="12"/>
  <c r="Z153" i="12" s="1"/>
  <c r="Z64" i="12"/>
  <c r="Z139" i="12"/>
  <c r="Z141" i="12" s="1"/>
  <c r="Z24" i="12"/>
  <c r="Y100" i="12"/>
  <c r="Y101" i="12"/>
  <c r="Z18" i="26"/>
  <c r="AA72" i="9"/>
  <c r="AA29" i="26"/>
  <c r="AA74" i="9"/>
  <c r="AA76" i="9" s="1"/>
  <c r="AB32" i="14"/>
  <c r="AB35" i="14"/>
  <c r="AB75" i="14" s="1"/>
  <c r="Z27" i="14"/>
  <c r="Z71" i="14"/>
  <c r="AA76" i="12"/>
  <c r="AA62" i="12"/>
  <c r="AC40" i="9"/>
  <c r="AC42" i="9" s="1"/>
  <c r="AC11" i="26" s="1"/>
  <c r="AC31" i="14"/>
  <c r="AA20" i="14"/>
  <c r="AA69" i="14" s="1"/>
  <c r="AA77" i="14" s="1"/>
  <c r="AA17" i="14"/>
  <c r="AA90" i="14" s="1"/>
  <c r="AA12" i="14"/>
  <c r="AA35" i="12"/>
  <c r="AB11" i="12"/>
  <c r="AB62" i="9"/>
  <c r="AB64" i="9" s="1"/>
  <c r="AB20" i="26" s="1"/>
  <c r="AB21" i="26" s="1"/>
  <c r="AB68" i="9"/>
  <c r="AD16" i="9"/>
  <c r="AD18" i="9" s="1"/>
  <c r="AD19" i="9" s="1"/>
  <c r="AC48" i="9"/>
  <c r="AC50" i="9" s="1"/>
  <c r="BA7" i="14" l="1"/>
  <c r="AZ6" i="14"/>
  <c r="AY4" i="14"/>
  <c r="AY5" i="14"/>
  <c r="AV111" i="12"/>
  <c r="AV39" i="26" s="1"/>
  <c r="AZ92" i="12"/>
  <c r="AW87" i="12"/>
  <c r="AW89" i="12" s="1"/>
  <c r="AW95" i="12" s="1"/>
  <c r="AW20" i="12"/>
  <c r="AY88" i="12"/>
  <c r="W71" i="26"/>
  <c r="X127" i="12"/>
  <c r="X129" i="12" s="1"/>
  <c r="X131" i="12" s="1"/>
  <c r="X172" i="12" s="1"/>
  <c r="AA40" i="12"/>
  <c r="AA43" i="12" s="1"/>
  <c r="AA82" i="12"/>
  <c r="AA110" i="12" s="1"/>
  <c r="AA38" i="26" s="1"/>
  <c r="X124" i="12"/>
  <c r="X125" i="12" s="1"/>
  <c r="Y123" i="12" s="1"/>
  <c r="AK69" i="12"/>
  <c r="Y71" i="12"/>
  <c r="Y72" i="12" s="1"/>
  <c r="Y109" i="12" s="1"/>
  <c r="Y37" i="26" s="1"/>
  <c r="X117" i="12"/>
  <c r="AV21" i="12"/>
  <c r="AW75" i="12"/>
  <c r="AW58" i="12"/>
  <c r="AX56" i="12"/>
  <c r="AZ4" i="12"/>
  <c r="AZ5" i="12"/>
  <c r="AZ152" i="12"/>
  <c r="BB7" i="12"/>
  <c r="BA6" i="12"/>
  <c r="BA41" i="12" s="1"/>
  <c r="AW36" i="9"/>
  <c r="AW14" i="26" s="1"/>
  <c r="AE16" i="9"/>
  <c r="AW26" i="9"/>
  <c r="AW29" i="9" s="1"/>
  <c r="AV41" i="9"/>
  <c r="BJ30" i="9"/>
  <c r="BJ55" i="9" s="1"/>
  <c r="BJ28" i="9"/>
  <c r="AX35" i="9"/>
  <c r="AX19" i="12" s="1"/>
  <c r="AX91" i="12" s="1"/>
  <c r="AX93" i="12" s="1"/>
  <c r="AX54" i="9"/>
  <c r="AX56" i="9" s="1"/>
  <c r="AX58" i="9" s="1"/>
  <c r="AX27" i="9"/>
  <c r="AY23" i="9"/>
  <c r="AY13" i="9"/>
  <c r="AX34" i="9"/>
  <c r="AX18" i="12" s="1"/>
  <c r="AX17" i="9"/>
  <c r="AW63" i="9"/>
  <c r="AW69" i="9"/>
  <c r="Z175" i="12"/>
  <c r="Z64" i="26"/>
  <c r="Z84" i="26" s="1"/>
  <c r="Z45" i="12"/>
  <c r="Z32" i="26"/>
  <c r="Z34" i="26" s="1"/>
  <c r="Z35" i="26" s="1"/>
  <c r="Z173" i="12"/>
  <c r="Z58" i="26"/>
  <c r="Z82" i="26" s="1"/>
  <c r="Y102" i="12"/>
  <c r="Y112" i="12" s="1"/>
  <c r="AA77" i="9"/>
  <c r="AA23" i="26"/>
  <c r="AA65" i="26" s="1"/>
  <c r="AA23" i="12"/>
  <c r="AA147" i="12" s="1"/>
  <c r="AA17" i="26"/>
  <c r="AA30" i="26"/>
  <c r="AC12" i="26"/>
  <c r="Z77" i="12"/>
  <c r="Z78" i="12" s="1"/>
  <c r="Z99" i="12" s="1"/>
  <c r="Z66" i="12"/>
  <c r="AA53" i="14"/>
  <c r="AA65" i="14" s="1"/>
  <c r="AC32" i="14"/>
  <c r="AC35" i="14"/>
  <c r="AC57" i="14" s="1"/>
  <c r="AA79" i="14"/>
  <c r="AB57" i="14"/>
  <c r="AB70" i="9"/>
  <c r="AB72" i="9" s="1"/>
  <c r="AB11" i="14"/>
  <c r="AB51" i="14" s="1"/>
  <c r="AA106" i="12"/>
  <c r="AA113" i="12" s="1"/>
  <c r="AA41" i="26" s="1"/>
  <c r="AA36" i="12"/>
  <c r="AD40" i="9"/>
  <c r="AD42" i="9" s="1"/>
  <c r="AD11" i="26" s="1"/>
  <c r="AD31" i="14"/>
  <c r="AE32" i="14" s="1"/>
  <c r="AB60" i="12"/>
  <c r="AB12" i="12"/>
  <c r="AA18" i="14"/>
  <c r="AC11" i="12"/>
  <c r="AA29" i="12"/>
  <c r="AA21" i="14"/>
  <c r="AA26" i="14"/>
  <c r="AB75" i="9"/>
  <c r="AB26" i="12"/>
  <c r="AB27" i="12" s="1"/>
  <c r="AC62" i="9"/>
  <c r="AC64" i="9" s="1"/>
  <c r="AC20" i="26" s="1"/>
  <c r="AC21" i="26" s="1"/>
  <c r="AC68" i="9"/>
  <c r="AD48" i="9"/>
  <c r="AD50" i="9" s="1"/>
  <c r="AB59" i="14" l="1"/>
  <c r="AB61" i="14" s="1"/>
  <c r="AB63" i="14"/>
  <c r="AZ5" i="14"/>
  <c r="AZ4" i="14"/>
  <c r="BA6" i="14"/>
  <c r="BB7" i="14"/>
  <c r="AW15" i="26"/>
  <c r="X47" i="26"/>
  <c r="X49" i="26" s="1"/>
  <c r="X51" i="26" s="1"/>
  <c r="X71" i="26" s="1"/>
  <c r="BA92" i="12"/>
  <c r="AX87" i="12"/>
  <c r="AX89" i="12" s="1"/>
  <c r="AX95" i="12" s="1"/>
  <c r="AX20" i="12"/>
  <c r="AZ88" i="12"/>
  <c r="X162" i="12"/>
  <c r="Z68" i="12"/>
  <c r="Z70" i="12" s="1"/>
  <c r="BA4" i="12"/>
  <c r="BA5" i="12"/>
  <c r="BA152" i="12"/>
  <c r="BC7" i="12"/>
  <c r="BB6" i="12"/>
  <c r="BB41" i="12" s="1"/>
  <c r="AX75" i="12"/>
  <c r="AX58" i="12"/>
  <c r="AY56" i="12"/>
  <c r="AW21" i="12"/>
  <c r="AW111" i="12"/>
  <c r="AW39" i="26" s="1"/>
  <c r="AX36" i="9"/>
  <c r="AX14" i="26" s="1"/>
  <c r="AX63" i="9"/>
  <c r="AX69" i="9"/>
  <c r="AZ13" i="9"/>
  <c r="AY17" i="9"/>
  <c r="AY34" i="9"/>
  <c r="AY18" i="12" s="1"/>
  <c r="AW41" i="9"/>
  <c r="AX26" i="9"/>
  <c r="AX29" i="9" s="1"/>
  <c r="BK28" i="9"/>
  <c r="BK30" i="9"/>
  <c r="BK55" i="9" s="1"/>
  <c r="AY54" i="9"/>
  <c r="AY56" i="9" s="1"/>
  <c r="AY58" i="9" s="1"/>
  <c r="AY27" i="9"/>
  <c r="AZ23" i="9"/>
  <c r="AY35" i="9"/>
  <c r="AY19" i="12" s="1"/>
  <c r="AY91" i="12" s="1"/>
  <c r="AY93" i="12" s="1"/>
  <c r="AE18" i="9"/>
  <c r="AE19" i="9" s="1"/>
  <c r="Z46" i="12"/>
  <c r="Y114" i="12"/>
  <c r="Y116" i="12" s="1"/>
  <c r="Y40" i="26"/>
  <c r="Y42" i="26" s="1"/>
  <c r="Y44" i="26" s="1"/>
  <c r="Y45" i="26" s="1"/>
  <c r="Z101" i="12"/>
  <c r="Z100" i="12"/>
  <c r="AA18" i="26"/>
  <c r="AD12" i="26"/>
  <c r="AA85" i="26"/>
  <c r="AB23" i="12"/>
  <c r="AB147" i="12" s="1"/>
  <c r="AB17" i="26"/>
  <c r="AB74" i="9"/>
  <c r="AB76" i="9" s="1"/>
  <c r="AB29" i="26"/>
  <c r="AA139" i="12"/>
  <c r="AA141" i="12" s="1"/>
  <c r="AA151" i="12"/>
  <c r="AA153" i="12" s="1"/>
  <c r="AA24" i="12"/>
  <c r="AA64" i="12"/>
  <c r="AA155" i="12"/>
  <c r="AD32" i="14"/>
  <c r="AD35" i="14"/>
  <c r="AC75" i="14"/>
  <c r="AA27" i="14"/>
  <c r="AA71" i="14"/>
  <c r="AC70" i="9"/>
  <c r="AC11" i="14"/>
  <c r="AC51" i="14" s="1"/>
  <c r="AB76" i="12"/>
  <c r="AB62" i="12"/>
  <c r="AB20" i="14"/>
  <c r="AB69" i="14" s="1"/>
  <c r="AB77" i="14" s="1"/>
  <c r="AB17" i="14"/>
  <c r="AB90" i="14" s="1"/>
  <c r="AB12" i="14"/>
  <c r="AD11" i="12"/>
  <c r="AB35" i="12"/>
  <c r="AC60" i="12"/>
  <c r="AC12" i="12"/>
  <c r="AC75" i="9"/>
  <c r="AC26" i="12"/>
  <c r="AC27" i="12" s="1"/>
  <c r="AD62" i="9"/>
  <c r="AD64" i="9" s="1"/>
  <c r="AD20" i="26" s="1"/>
  <c r="AD21" i="26" s="1"/>
  <c r="AD68" i="9"/>
  <c r="AC59" i="14" l="1"/>
  <c r="AC61" i="14" s="1"/>
  <c r="AC63" i="14"/>
  <c r="BA5" i="14"/>
  <c r="BA4" i="14"/>
  <c r="BB6" i="14"/>
  <c r="BC7" i="14"/>
  <c r="AX15" i="26"/>
  <c r="X81" i="26"/>
  <c r="BB92" i="12"/>
  <c r="AY20" i="12"/>
  <c r="AY87" i="12"/>
  <c r="AY89" i="12" s="1"/>
  <c r="AY95" i="12" s="1"/>
  <c r="BA88" i="12"/>
  <c r="AB40" i="12"/>
  <c r="AB43" i="12" s="1"/>
  <c r="AB82" i="12"/>
  <c r="AB110" i="12" s="1"/>
  <c r="AB38" i="26" s="1"/>
  <c r="AL69" i="12"/>
  <c r="Z71" i="12"/>
  <c r="Z72" i="12" s="1"/>
  <c r="Z109" i="12" s="1"/>
  <c r="Z37" i="26" s="1"/>
  <c r="BC6" i="12"/>
  <c r="BC41" i="12" s="1"/>
  <c r="BD7" i="12"/>
  <c r="AY75" i="12"/>
  <c r="AY58" i="12"/>
  <c r="AZ56" i="12"/>
  <c r="BB4" i="12"/>
  <c r="BB5" i="12"/>
  <c r="BB152" i="12"/>
  <c r="AX21" i="12"/>
  <c r="AX111" i="12"/>
  <c r="AX39" i="26" s="1"/>
  <c r="AF16" i="9"/>
  <c r="AF18" i="9" s="1"/>
  <c r="AF19" i="9" s="1"/>
  <c r="AE40" i="9"/>
  <c r="AE42" i="9" s="1"/>
  <c r="AE48" i="9"/>
  <c r="AE50" i="9" s="1"/>
  <c r="AY26" i="9"/>
  <c r="AY29" i="9" s="1"/>
  <c r="AX41" i="9"/>
  <c r="AZ17" i="9"/>
  <c r="BA13" i="9"/>
  <c r="AZ34" i="9"/>
  <c r="AZ18" i="12" s="1"/>
  <c r="AY63" i="9"/>
  <c r="AY69" i="9"/>
  <c r="AY36" i="9"/>
  <c r="AY14" i="26" s="1"/>
  <c r="AY15" i="26" s="1"/>
  <c r="BL28" i="9"/>
  <c r="BL30" i="9"/>
  <c r="BL55" i="9" s="1"/>
  <c r="BA23" i="9"/>
  <c r="AZ27" i="9"/>
  <c r="AZ54" i="9"/>
  <c r="AZ56" i="9" s="1"/>
  <c r="AZ58" i="9" s="1"/>
  <c r="AZ35" i="9"/>
  <c r="AZ19" i="12" s="1"/>
  <c r="AZ91" i="12" s="1"/>
  <c r="AZ93" i="12" s="1"/>
  <c r="Y127" i="12"/>
  <c r="Y129" i="12" s="1"/>
  <c r="Y131" i="12" s="1"/>
  <c r="Y172" i="12" s="1"/>
  <c r="Y117" i="12"/>
  <c r="Y124" i="12"/>
  <c r="Y125" i="12" s="1"/>
  <c r="Z123" i="12" s="1"/>
  <c r="AB151" i="12"/>
  <c r="AB153" i="12" s="1"/>
  <c r="AB64" i="26" s="1"/>
  <c r="AA173" i="12"/>
  <c r="AA58" i="26"/>
  <c r="AA82" i="26" s="1"/>
  <c r="AA45" i="12"/>
  <c r="AA46" i="12" s="1"/>
  <c r="AA32" i="26"/>
  <c r="AA34" i="26" s="1"/>
  <c r="AA35" i="26" s="1"/>
  <c r="AA175" i="12"/>
  <c r="AA64" i="26"/>
  <c r="AA84" i="26" s="1"/>
  <c r="Z102" i="12"/>
  <c r="Z112" i="12" s="1"/>
  <c r="AB64" i="12"/>
  <c r="AB77" i="12" s="1"/>
  <c r="AB78" i="12" s="1"/>
  <c r="AB99" i="12" s="1"/>
  <c r="AB100" i="12" s="1"/>
  <c r="AB24" i="12"/>
  <c r="AB139" i="12"/>
  <c r="AB141" i="12" s="1"/>
  <c r="AB77" i="9"/>
  <c r="AB23" i="26"/>
  <c r="AB65" i="26" s="1"/>
  <c r="AB18" i="26"/>
  <c r="AA77" i="12"/>
  <c r="AA78" i="12" s="1"/>
  <c r="AA99" i="12" s="1"/>
  <c r="AA66" i="12"/>
  <c r="AC72" i="9"/>
  <c r="AC29" i="26"/>
  <c r="AB30" i="26"/>
  <c r="AC74" i="9"/>
  <c r="AC76" i="9" s="1"/>
  <c r="AD75" i="14"/>
  <c r="AB53" i="14"/>
  <c r="AB65" i="14" s="1"/>
  <c r="AA176" i="12"/>
  <c r="AB79" i="14"/>
  <c r="AD57" i="14"/>
  <c r="AD70" i="9"/>
  <c r="AD11" i="14"/>
  <c r="AE12" i="14" s="1"/>
  <c r="AC76" i="12"/>
  <c r="AC62" i="12"/>
  <c r="AB106" i="12"/>
  <c r="AB113" i="12" s="1"/>
  <c r="AB41" i="26" s="1"/>
  <c r="AB36" i="12"/>
  <c r="AB18" i="14"/>
  <c r="AB21" i="14"/>
  <c r="AB26" i="14"/>
  <c r="AC20" i="14"/>
  <c r="AC69" i="14" s="1"/>
  <c r="AC77" i="14" s="1"/>
  <c r="AC12" i="14"/>
  <c r="AC17" i="14"/>
  <c r="AC90" i="14" s="1"/>
  <c r="AD60" i="12"/>
  <c r="AD12" i="12"/>
  <c r="AC35" i="12"/>
  <c r="AB29" i="12"/>
  <c r="AD75" i="9"/>
  <c r="AD26" i="12"/>
  <c r="AD27" i="12" s="1"/>
  <c r="H7" i="9"/>
  <c r="H6" i="9" s="1"/>
  <c r="G11" i="5"/>
  <c r="G12" i="5" s="1"/>
  <c r="BC6" i="14" l="1"/>
  <c r="BD7" i="14"/>
  <c r="BB5" i="14"/>
  <c r="BB4" i="14"/>
  <c r="AE11" i="12"/>
  <c r="AE11" i="26"/>
  <c r="AE12" i="26" s="1"/>
  <c r="BC92" i="12"/>
  <c r="AZ87" i="12"/>
  <c r="AZ89" i="12" s="1"/>
  <c r="AZ95" i="12" s="1"/>
  <c r="AZ20" i="12"/>
  <c r="BB88" i="12"/>
  <c r="AC40" i="12"/>
  <c r="AC43" i="12" s="1"/>
  <c r="AC82" i="12"/>
  <c r="AC110" i="12" s="1"/>
  <c r="AC38" i="26" s="1"/>
  <c r="AA68" i="12"/>
  <c r="AA70" i="12" s="1"/>
  <c r="AZ75" i="12"/>
  <c r="AZ58" i="12"/>
  <c r="BA56" i="12"/>
  <c r="BD6" i="12"/>
  <c r="BD41" i="12" s="1"/>
  <c r="BE7" i="12"/>
  <c r="BC5" i="12"/>
  <c r="BC4" i="12"/>
  <c r="BC152" i="12"/>
  <c r="AY111" i="12"/>
  <c r="AY39" i="26" s="1"/>
  <c r="AE12" i="12"/>
  <c r="AE60" i="12"/>
  <c r="AY21" i="12"/>
  <c r="Y47" i="26"/>
  <c r="Y49" i="26" s="1"/>
  <c r="Y51" i="26" s="1"/>
  <c r="Y81" i="26" s="1"/>
  <c r="AZ36" i="9"/>
  <c r="AZ14" i="26" s="1"/>
  <c r="AZ15" i="26" s="1"/>
  <c r="AZ26" i="9"/>
  <c r="AZ29" i="9" s="1"/>
  <c r="AY41" i="9"/>
  <c r="BM28" i="9"/>
  <c r="BM30" i="9"/>
  <c r="BM55" i="9" s="1"/>
  <c r="BA54" i="9"/>
  <c r="BA56" i="9" s="1"/>
  <c r="BA58" i="9" s="1"/>
  <c r="BA27" i="9"/>
  <c r="BA35" i="9"/>
  <c r="BA19" i="12" s="1"/>
  <c r="BA91" i="12" s="1"/>
  <c r="BA93" i="12" s="1"/>
  <c r="BB23" i="9"/>
  <c r="BA17" i="9"/>
  <c r="BB13" i="9"/>
  <c r="BA34" i="9"/>
  <c r="BA18" i="12" s="1"/>
  <c r="AE62" i="9"/>
  <c r="AE64" i="9" s="1"/>
  <c r="AE20" i="26" s="1"/>
  <c r="AE21" i="26" s="1"/>
  <c r="AE68" i="9"/>
  <c r="AE70" i="9" s="1"/>
  <c r="AZ63" i="9"/>
  <c r="AZ69" i="9"/>
  <c r="AG16" i="9"/>
  <c r="AF48" i="9"/>
  <c r="AF50" i="9" s="1"/>
  <c r="AF40" i="9"/>
  <c r="AF42" i="9" s="1"/>
  <c r="AB175" i="12"/>
  <c r="Z114" i="12"/>
  <c r="Z116" i="12" s="1"/>
  <c r="Z40" i="26"/>
  <c r="Z42" i="26" s="1"/>
  <c r="Z44" i="26" s="1"/>
  <c r="Z45" i="26" s="1"/>
  <c r="Y162" i="12"/>
  <c r="AB173" i="12"/>
  <c r="AB58" i="26"/>
  <c r="AB82" i="26" s="1"/>
  <c r="AB101" i="12"/>
  <c r="AB102" i="12" s="1"/>
  <c r="AB112" i="12" s="1"/>
  <c r="AB40" i="26" s="1"/>
  <c r="AB66" i="12"/>
  <c r="AB84" i="26"/>
  <c r="AD74" i="9"/>
  <c r="AD76" i="9" s="1"/>
  <c r="AD29" i="26"/>
  <c r="AB85" i="26"/>
  <c r="AC23" i="12"/>
  <c r="AC147" i="12" s="1"/>
  <c r="AC17" i="26"/>
  <c r="AA101" i="12"/>
  <c r="AA100" i="12"/>
  <c r="AC77" i="9"/>
  <c r="AC23" i="26"/>
  <c r="AC65" i="26" s="1"/>
  <c r="AC30" i="26"/>
  <c r="AD72" i="9"/>
  <c r="AD51" i="14"/>
  <c r="AC53" i="14"/>
  <c r="AC65" i="14" s="1"/>
  <c r="AB155" i="12"/>
  <c r="AD35" i="12"/>
  <c r="AD82" i="12" s="1"/>
  <c r="AD110" i="12" s="1"/>
  <c r="AD38" i="26" s="1"/>
  <c r="AC79" i="14"/>
  <c r="AB27" i="14"/>
  <c r="AB71" i="14"/>
  <c r="AD76" i="12"/>
  <c r="AD62" i="12"/>
  <c r="AC106" i="12"/>
  <c r="AC113" i="12" s="1"/>
  <c r="AC41" i="26" s="1"/>
  <c r="AC36" i="12"/>
  <c r="AD20" i="14"/>
  <c r="AE21" i="14" s="1"/>
  <c r="AD12" i="14"/>
  <c r="AD17" i="14"/>
  <c r="AC21" i="14"/>
  <c r="AC26" i="14"/>
  <c r="AC29" i="12"/>
  <c r="AC18" i="14"/>
  <c r="H4" i="9"/>
  <c r="H5" i="9"/>
  <c r="I7" i="9"/>
  <c r="J7" i="9" s="1"/>
  <c r="K7" i="9" s="1"/>
  <c r="L7" i="9" s="1"/>
  <c r="M7" i="9" s="1"/>
  <c r="N7" i="9" s="1"/>
  <c r="O7" i="9" s="1"/>
  <c r="AD59" i="14" l="1"/>
  <c r="AD61" i="14" s="1"/>
  <c r="AD63" i="14"/>
  <c r="BE7" i="14"/>
  <c r="BD6" i="14"/>
  <c r="AD90" i="14"/>
  <c r="AE90" i="14"/>
  <c r="AE91" i="14" s="1"/>
  <c r="BC5" i="14"/>
  <c r="BC4" i="14"/>
  <c r="AE35" i="12"/>
  <c r="AE29" i="26"/>
  <c r="AE30" i="26" s="1"/>
  <c r="AF11" i="12"/>
  <c r="AF60" i="12" s="1"/>
  <c r="AF11" i="26"/>
  <c r="AZ111" i="12"/>
  <c r="AZ39" i="26" s="1"/>
  <c r="BD92" i="12"/>
  <c r="BA87" i="12"/>
  <c r="BA89" i="12" s="1"/>
  <c r="BA95" i="12" s="1"/>
  <c r="BA20" i="12"/>
  <c r="BC88" i="12"/>
  <c r="AE40" i="12"/>
  <c r="AE43" i="12" s="1"/>
  <c r="AE32" i="26" s="1"/>
  <c r="AE34" i="26" s="1"/>
  <c r="AE82" i="12"/>
  <c r="AE110" i="12" s="1"/>
  <c r="AE38" i="26" s="1"/>
  <c r="AM69" i="12"/>
  <c r="AA71" i="12"/>
  <c r="AA72" i="12" s="1"/>
  <c r="AA109" i="12" s="1"/>
  <c r="AA37" i="26" s="1"/>
  <c r="AB68" i="12"/>
  <c r="AB70" i="12" s="1"/>
  <c r="AD106" i="12"/>
  <c r="AD113" i="12" s="1"/>
  <c r="AD41" i="26" s="1"/>
  <c r="AD40" i="12"/>
  <c r="AD43" i="12" s="1"/>
  <c r="BD4" i="12"/>
  <c r="BD5" i="12"/>
  <c r="BD152" i="12"/>
  <c r="BA75" i="12"/>
  <c r="BA58" i="12"/>
  <c r="BB56" i="12"/>
  <c r="BE6" i="12"/>
  <c r="BE41" i="12" s="1"/>
  <c r="BF7" i="12"/>
  <c r="BA36" i="9"/>
  <c r="BA14" i="26" s="1"/>
  <c r="BA15" i="26" s="1"/>
  <c r="AE76" i="12"/>
  <c r="AE62" i="12"/>
  <c r="AE75" i="9"/>
  <c r="AE26" i="12"/>
  <c r="AE36" i="12"/>
  <c r="AE106" i="12"/>
  <c r="AE113" i="12" s="1"/>
  <c r="AE41" i="26" s="1"/>
  <c r="AZ21" i="12"/>
  <c r="Z124" i="12"/>
  <c r="Z125" i="12" s="1"/>
  <c r="AA123" i="12" s="1"/>
  <c r="Y71" i="26"/>
  <c r="Z127" i="12"/>
  <c r="Z47" i="26" s="1"/>
  <c r="Z49" i="26" s="1"/>
  <c r="Z51" i="26" s="1"/>
  <c r="Z81" i="26" s="1"/>
  <c r="BC13" i="9"/>
  <c r="BB34" i="9"/>
  <c r="BB18" i="12" s="1"/>
  <c r="BB17" i="9"/>
  <c r="AE74" i="9"/>
  <c r="AE72" i="9"/>
  <c r="BA63" i="9"/>
  <c r="BA69" i="9"/>
  <c r="AZ41" i="9"/>
  <c r="BA26" i="9"/>
  <c r="BA29" i="9" s="1"/>
  <c r="AF62" i="9"/>
  <c r="AF64" i="9" s="1"/>
  <c r="AF20" i="26" s="1"/>
  <c r="AF21" i="26" s="1"/>
  <c r="AF68" i="9"/>
  <c r="AF70" i="9" s="1"/>
  <c r="BN30" i="9"/>
  <c r="BN55" i="9" s="1"/>
  <c r="BN28" i="9"/>
  <c r="BB27" i="9"/>
  <c r="BB35" i="9"/>
  <c r="BB19" i="12" s="1"/>
  <c r="BB91" i="12" s="1"/>
  <c r="BB93" i="12" s="1"/>
  <c r="BB54" i="9"/>
  <c r="BB56" i="9" s="1"/>
  <c r="BB58" i="9" s="1"/>
  <c r="BC23" i="9"/>
  <c r="AG18" i="9"/>
  <c r="AG19" i="9" s="1"/>
  <c r="Z117" i="12"/>
  <c r="AB45" i="12"/>
  <c r="AB32" i="26"/>
  <c r="AB34" i="26" s="1"/>
  <c r="AB35" i="26" s="1"/>
  <c r="AC85" i="26"/>
  <c r="AC18" i="26"/>
  <c r="AD30" i="26"/>
  <c r="AC24" i="12"/>
  <c r="AC139" i="12"/>
  <c r="AC141" i="12" s="1"/>
  <c r="AC64" i="12"/>
  <c r="AC151" i="12"/>
  <c r="AC153" i="12" s="1"/>
  <c r="AD77" i="9"/>
  <c r="AD23" i="26"/>
  <c r="AD65" i="26" s="1"/>
  <c r="AD23" i="12"/>
  <c r="AD17" i="26"/>
  <c r="AA102" i="12"/>
  <c r="AA112" i="12" s="1"/>
  <c r="AD36" i="12"/>
  <c r="AD69" i="14"/>
  <c r="AD77" i="14" s="1"/>
  <c r="AD79" i="14" s="1"/>
  <c r="AD53" i="14"/>
  <c r="AC155" i="12"/>
  <c r="AB176" i="12"/>
  <c r="AC27" i="14"/>
  <c r="AC71" i="14"/>
  <c r="AD29" i="12"/>
  <c r="AD21" i="14"/>
  <c r="AD26" i="14"/>
  <c r="AD18" i="14"/>
  <c r="I6" i="9"/>
  <c r="O6" i="9"/>
  <c r="P7" i="9"/>
  <c r="J6" i="9"/>
  <c r="AD65" i="14" l="1"/>
  <c r="BD4" i="14"/>
  <c r="BD5" i="14"/>
  <c r="BF7" i="14"/>
  <c r="BE6" i="14"/>
  <c r="AD85" i="26"/>
  <c r="AF35" i="12"/>
  <c r="AF82" i="12" s="1"/>
  <c r="AF110" i="12" s="1"/>
  <c r="AF38" i="26" s="1"/>
  <c r="AF29" i="26"/>
  <c r="AF30" i="26" s="1"/>
  <c r="AF12" i="12"/>
  <c r="AF12" i="26"/>
  <c r="AE35" i="26"/>
  <c r="AE23" i="12"/>
  <c r="AE147" i="12" s="1"/>
  <c r="AE17" i="26"/>
  <c r="AE18" i="26" s="1"/>
  <c r="AD139" i="12"/>
  <c r="AD141" i="12" s="1"/>
  <c r="AD147" i="12"/>
  <c r="BA21" i="12"/>
  <c r="BE92" i="12"/>
  <c r="BB87" i="12"/>
  <c r="BB89" i="12" s="1"/>
  <c r="BB95" i="12" s="1"/>
  <c r="BB20" i="12"/>
  <c r="BD88" i="12"/>
  <c r="AN69" i="12"/>
  <c r="AB71" i="12"/>
  <c r="AB72" i="12" s="1"/>
  <c r="AB109" i="12" s="1"/>
  <c r="AB37" i="26" s="1"/>
  <c r="AB42" i="26" s="1"/>
  <c r="AB44" i="26" s="1"/>
  <c r="AB45" i="26" s="1"/>
  <c r="AF36" i="12"/>
  <c r="AF40" i="12"/>
  <c r="AF43" i="12" s="1"/>
  <c r="AF32" i="26" s="1"/>
  <c r="AF34" i="26" s="1"/>
  <c r="BG7" i="12"/>
  <c r="BF6" i="12"/>
  <c r="BF41" i="12" s="1"/>
  <c r="BE4" i="12"/>
  <c r="BE5" i="12"/>
  <c r="BE152" i="12"/>
  <c r="BB75" i="12"/>
  <c r="BB58" i="12"/>
  <c r="BC56" i="12"/>
  <c r="AE76" i="9"/>
  <c r="BA111" i="12"/>
  <c r="BA39" i="26" s="1"/>
  <c r="AE45" i="12"/>
  <c r="AE46" i="12" s="1"/>
  <c r="AB46" i="12"/>
  <c r="AF76" i="12"/>
  <c r="AF62" i="12"/>
  <c r="AF106" i="12"/>
  <c r="AF113" i="12" s="1"/>
  <c r="AF41" i="26" s="1"/>
  <c r="AE27" i="12"/>
  <c r="AD58" i="26"/>
  <c r="AE64" i="12"/>
  <c r="AE24" i="12"/>
  <c r="AE139" i="12"/>
  <c r="AE141" i="12" s="1"/>
  <c r="AE58" i="26" s="1"/>
  <c r="AE151" i="12"/>
  <c r="AE153" i="12" s="1"/>
  <c r="AE64" i="26" s="1"/>
  <c r="AF75" i="9"/>
  <c r="AF26" i="12"/>
  <c r="AF27" i="12" s="1"/>
  <c r="Z129" i="12"/>
  <c r="Z131" i="12" s="1"/>
  <c r="Z172" i="12" s="1"/>
  <c r="AG40" i="9"/>
  <c r="AG42" i="9" s="1"/>
  <c r="AG48" i="9"/>
  <c r="AG50" i="9" s="1"/>
  <c r="AH16" i="9"/>
  <c r="AF74" i="9"/>
  <c r="AF72" i="9"/>
  <c r="BB63" i="9"/>
  <c r="BB69" i="9"/>
  <c r="BB36" i="9"/>
  <c r="BB14" i="26" s="1"/>
  <c r="BC17" i="9"/>
  <c r="BC34" i="9"/>
  <c r="BC18" i="12" s="1"/>
  <c r="BD13" i="9"/>
  <c r="BC54" i="9"/>
  <c r="BC56" i="9" s="1"/>
  <c r="BC58" i="9" s="1"/>
  <c r="BC27" i="9"/>
  <c r="BC35" i="9"/>
  <c r="BC19" i="12" s="1"/>
  <c r="BC91" i="12" s="1"/>
  <c r="BC93" i="12" s="1"/>
  <c r="BD23" i="9"/>
  <c r="BA41" i="9"/>
  <c r="BB26" i="9"/>
  <c r="BB29" i="9" s="1"/>
  <c r="AC173" i="12"/>
  <c r="AC58" i="26"/>
  <c r="AC82" i="26" s="1"/>
  <c r="AA114" i="12"/>
  <c r="AA116" i="12" s="1"/>
  <c r="AA117" i="12" s="1"/>
  <c r="AA40" i="26"/>
  <c r="AA42" i="26" s="1"/>
  <c r="AA44" i="26" s="1"/>
  <c r="AA45" i="26" s="1"/>
  <c r="AC175" i="12"/>
  <c r="AC64" i="26"/>
  <c r="AC84" i="26" s="1"/>
  <c r="AC45" i="12"/>
  <c r="AC46" i="12" s="1"/>
  <c r="AC32" i="26"/>
  <c r="AC34" i="26" s="1"/>
  <c r="AC35" i="26" s="1"/>
  <c r="Z71" i="26"/>
  <c r="AD24" i="12"/>
  <c r="AD64" i="12"/>
  <c r="AD77" i="12" s="1"/>
  <c r="AD78" i="12" s="1"/>
  <c r="AD99" i="12" s="1"/>
  <c r="AD100" i="12" s="1"/>
  <c r="AD151" i="12"/>
  <c r="AD153" i="12" s="1"/>
  <c r="AD18" i="26"/>
  <c r="AC77" i="12"/>
  <c r="AC78" i="12" s="1"/>
  <c r="AC99" i="12" s="1"/>
  <c r="AC66" i="12"/>
  <c r="AD71" i="14"/>
  <c r="AD155" i="12"/>
  <c r="AC176" i="12"/>
  <c r="AD27" i="14"/>
  <c r="AD173" i="12"/>
  <c r="J5" i="9"/>
  <c r="J4" i="9"/>
  <c r="O5" i="9"/>
  <c r="O4" i="9"/>
  <c r="I5" i="9"/>
  <c r="I4" i="9"/>
  <c r="P6" i="9"/>
  <c r="Q7" i="9"/>
  <c r="K6" i="9"/>
  <c r="BE4" i="14" l="1"/>
  <c r="BE5" i="14"/>
  <c r="BG7" i="14"/>
  <c r="BF6" i="14"/>
  <c r="AF23" i="12"/>
  <c r="AF17" i="26"/>
  <c r="AF18" i="26" s="1"/>
  <c r="AG11" i="12"/>
  <c r="AG11" i="26"/>
  <c r="AE82" i="26"/>
  <c r="AE29" i="12"/>
  <c r="AE23" i="26"/>
  <c r="AE65" i="26" s="1"/>
  <c r="AE85" i="26" s="1"/>
  <c r="BB15" i="26"/>
  <c r="AF35" i="26"/>
  <c r="AF24" i="12"/>
  <c r="AF147" i="12"/>
  <c r="AF149" i="12" s="1"/>
  <c r="AF63" i="26" s="1"/>
  <c r="BF92" i="12"/>
  <c r="BC20" i="12"/>
  <c r="BC87" i="12"/>
  <c r="BC89" i="12" s="1"/>
  <c r="BC95" i="12" s="1"/>
  <c r="BE88" i="12"/>
  <c r="AF76" i="9"/>
  <c r="AB114" i="12"/>
  <c r="AB116" i="12" s="1"/>
  <c r="AC68" i="12"/>
  <c r="AC70" i="12" s="1"/>
  <c r="AE155" i="12"/>
  <c r="AE77" i="9"/>
  <c r="BF5" i="12"/>
  <c r="BF4" i="12"/>
  <c r="BF152" i="12"/>
  <c r="BC75" i="12"/>
  <c r="BC58" i="12"/>
  <c r="BD56" i="12"/>
  <c r="BG6" i="12"/>
  <c r="BG41" i="12" s="1"/>
  <c r="BH7" i="12"/>
  <c r="AF45" i="12"/>
  <c r="AF46" i="12" s="1"/>
  <c r="AE175" i="12"/>
  <c r="BB21" i="12"/>
  <c r="BB111" i="12"/>
  <c r="BB39" i="26" s="1"/>
  <c r="AE77" i="12"/>
  <c r="AE78" i="12" s="1"/>
  <c r="AE99" i="12" s="1"/>
  <c r="AE66" i="12"/>
  <c r="M149" i="12"/>
  <c r="M157" i="12" s="1"/>
  <c r="AE149" i="12"/>
  <c r="AE63" i="26" s="1"/>
  <c r="AF139" i="12"/>
  <c r="AF141" i="12" s="1"/>
  <c r="AF64" i="12"/>
  <c r="AF151" i="12"/>
  <c r="AF153" i="12" s="1"/>
  <c r="AF64" i="26" s="1"/>
  <c r="AG12" i="12"/>
  <c r="AG60" i="12"/>
  <c r="AE173" i="12"/>
  <c r="Z162" i="12"/>
  <c r="AD82" i="26"/>
  <c r="BC26" i="9"/>
  <c r="BC29" i="9" s="1"/>
  <c r="BB41" i="9"/>
  <c r="AF77" i="9"/>
  <c r="BC63" i="9"/>
  <c r="BC69" i="9"/>
  <c r="AH18" i="9"/>
  <c r="AH19" i="9" s="1"/>
  <c r="BE23" i="9"/>
  <c r="BD27" i="9"/>
  <c r="BD35" i="9"/>
  <c r="BD19" i="12" s="1"/>
  <c r="BD91" i="12" s="1"/>
  <c r="BD93" i="12" s="1"/>
  <c r="BD54" i="9"/>
  <c r="BD56" i="9" s="1"/>
  <c r="BD58" i="9" s="1"/>
  <c r="BE13" i="9"/>
  <c r="BD17" i="9"/>
  <c r="BD34" i="9"/>
  <c r="AG68" i="9"/>
  <c r="AG70" i="9" s="1"/>
  <c r="AG62" i="9"/>
  <c r="AG64" i="9" s="1"/>
  <c r="AG20" i="26" s="1"/>
  <c r="BC36" i="9"/>
  <c r="AA124" i="12"/>
  <c r="AA125" i="12" s="1"/>
  <c r="AB123" i="12" s="1"/>
  <c r="AA127" i="12"/>
  <c r="AA129" i="12" s="1"/>
  <c r="AA131" i="12" s="1"/>
  <c r="AD175" i="12"/>
  <c r="AD64" i="26"/>
  <c r="AD84" i="26" s="1"/>
  <c r="AD45" i="12"/>
  <c r="AD32" i="26"/>
  <c r="AD34" i="26" s="1"/>
  <c r="AD35" i="26" s="1"/>
  <c r="AD101" i="12"/>
  <c r="AD102" i="12" s="1"/>
  <c r="AD112" i="12" s="1"/>
  <c r="AD40" i="26" s="1"/>
  <c r="AD66" i="12"/>
  <c r="Y149" i="12"/>
  <c r="T149" i="12"/>
  <c r="T63" i="26" s="1"/>
  <c r="P149" i="12"/>
  <c r="AA149" i="12"/>
  <c r="R149" i="12"/>
  <c r="V149" i="12"/>
  <c r="W149" i="12"/>
  <c r="S149" i="12"/>
  <c r="J149" i="12"/>
  <c r="N149" i="12"/>
  <c r="Q149" i="12"/>
  <c r="G149" i="12"/>
  <c r="U149" i="12"/>
  <c r="L149" i="12"/>
  <c r="X149" i="12"/>
  <c r="H149" i="12"/>
  <c r="H63" i="26" s="1"/>
  <c r="AD149" i="12"/>
  <c r="AB149" i="12"/>
  <c r="O149" i="12"/>
  <c r="Z149" i="12"/>
  <c r="AC149" i="12"/>
  <c r="I149" i="12"/>
  <c r="K149" i="12"/>
  <c r="K63" i="26" s="1"/>
  <c r="AC101" i="12"/>
  <c r="AC100" i="12"/>
  <c r="AD176" i="12"/>
  <c r="K5" i="9"/>
  <c r="K4" i="9"/>
  <c r="P4" i="9"/>
  <c r="P5" i="9"/>
  <c r="R7" i="9"/>
  <c r="Q6" i="9"/>
  <c r="L6" i="9"/>
  <c r="BF5" i="14" l="1"/>
  <c r="BF4" i="14"/>
  <c r="BG6" i="14"/>
  <c r="BH7" i="14"/>
  <c r="BC21" i="12"/>
  <c r="BC14" i="26"/>
  <c r="BC15" i="26" s="1"/>
  <c r="AG12" i="26"/>
  <c r="AG35" i="12"/>
  <c r="AG29" i="26"/>
  <c r="AG21" i="26"/>
  <c r="AF173" i="12"/>
  <c r="AF58" i="26"/>
  <c r="AF29" i="12"/>
  <c r="AF23" i="26"/>
  <c r="AF65" i="26" s="1"/>
  <c r="AE66" i="26"/>
  <c r="AF66" i="26"/>
  <c r="AF84" i="26"/>
  <c r="AF83" i="26"/>
  <c r="AE84" i="26"/>
  <c r="BG92" i="12"/>
  <c r="BD36" i="9"/>
  <c r="BD14" i="26" s="1"/>
  <c r="BD15" i="26" s="1"/>
  <c r="BD18" i="12"/>
  <c r="BF88" i="12"/>
  <c r="AA162" i="12"/>
  <c r="AB127" i="12"/>
  <c r="AB129" i="12" s="1"/>
  <c r="AB131" i="12" s="1"/>
  <c r="AB172" i="12" s="1"/>
  <c r="AF155" i="12"/>
  <c r="AF157" i="12" s="1"/>
  <c r="AB117" i="12"/>
  <c r="AB124" i="12"/>
  <c r="AB125" i="12" s="1"/>
  <c r="AC123" i="12" s="1"/>
  <c r="AG40" i="12"/>
  <c r="AG43" i="12" s="1"/>
  <c r="AG32" i="26" s="1"/>
  <c r="AG34" i="26" s="1"/>
  <c r="AG82" i="12"/>
  <c r="AG110" i="12" s="1"/>
  <c r="AG38" i="26" s="1"/>
  <c r="AO69" i="12"/>
  <c r="AC71" i="12"/>
  <c r="AC72" i="12" s="1"/>
  <c r="AC109" i="12" s="1"/>
  <c r="AC37" i="26" s="1"/>
  <c r="AD68" i="12"/>
  <c r="AD70" i="12" s="1"/>
  <c r="AE68" i="12"/>
  <c r="AE70" i="12" s="1"/>
  <c r="AE176" i="12"/>
  <c r="AE157" i="12"/>
  <c r="M63" i="26"/>
  <c r="M66" i="26" s="1"/>
  <c r="BH6" i="12"/>
  <c r="BH41" i="12" s="1"/>
  <c r="BI7" i="12"/>
  <c r="BG4" i="12"/>
  <c r="BG5" i="12"/>
  <c r="BG152" i="12"/>
  <c r="BD75" i="12"/>
  <c r="BD58" i="12"/>
  <c r="BE56" i="12"/>
  <c r="AF174" i="12"/>
  <c r="AG36" i="12"/>
  <c r="AG106" i="12"/>
  <c r="AG113" i="12" s="1"/>
  <c r="AG41" i="26" s="1"/>
  <c r="AF175" i="12"/>
  <c r="AE101" i="12"/>
  <c r="AE100" i="12"/>
  <c r="AF77" i="12"/>
  <c r="AF78" i="12" s="1"/>
  <c r="AF99" i="12" s="1"/>
  <c r="AF66" i="12"/>
  <c r="BC111" i="12"/>
  <c r="BC39" i="26" s="1"/>
  <c r="AG76" i="12"/>
  <c r="AG62" i="12"/>
  <c r="AG75" i="9"/>
  <c r="AG26" i="12"/>
  <c r="AG27" i="12" s="1"/>
  <c r="AE174" i="12"/>
  <c r="AH48" i="9"/>
  <c r="AH50" i="9" s="1"/>
  <c r="AI16" i="9"/>
  <c r="AH40" i="9"/>
  <c r="AH42" i="9" s="1"/>
  <c r="AG72" i="9"/>
  <c r="AG74" i="9"/>
  <c r="BE34" i="9"/>
  <c r="BE18" i="12" s="1"/>
  <c r="BF13" i="9"/>
  <c r="BE17" i="9"/>
  <c r="BE35" i="9"/>
  <c r="BE19" i="12" s="1"/>
  <c r="BE91" i="12" s="1"/>
  <c r="BE93" i="12" s="1"/>
  <c r="BE54" i="9"/>
  <c r="BE56" i="9" s="1"/>
  <c r="BE58" i="9" s="1"/>
  <c r="BF23" i="9"/>
  <c r="BE27" i="9"/>
  <c r="BD63" i="9"/>
  <c r="BD69" i="9"/>
  <c r="BC41" i="9"/>
  <c r="BD26" i="9"/>
  <c r="BD29" i="9" s="1"/>
  <c r="AA47" i="26"/>
  <c r="AA49" i="26" s="1"/>
  <c r="AA51" i="26" s="1"/>
  <c r="AA81" i="26" s="1"/>
  <c r="I157" i="12"/>
  <c r="I63" i="26"/>
  <c r="I66" i="26" s="1"/>
  <c r="AB174" i="12"/>
  <c r="AB63" i="26"/>
  <c r="AB66" i="26" s="1"/>
  <c r="M174" i="12"/>
  <c r="M177" i="12" s="1"/>
  <c r="M188" i="12" s="1"/>
  <c r="M89" i="14" s="1"/>
  <c r="M91" i="14" s="1"/>
  <c r="L63" i="26"/>
  <c r="L66" i="26" s="1"/>
  <c r="N157" i="12"/>
  <c r="N63" i="26"/>
  <c r="V157" i="12"/>
  <c r="V63" i="26"/>
  <c r="V66" i="26" s="1"/>
  <c r="Z157" i="12"/>
  <c r="Z63" i="26"/>
  <c r="G157" i="12"/>
  <c r="G63" i="26"/>
  <c r="H83" i="26" s="1"/>
  <c r="H86" i="26" s="1"/>
  <c r="S157" i="12"/>
  <c r="S63" i="26"/>
  <c r="AA157" i="12"/>
  <c r="AA63" i="26"/>
  <c r="AA66" i="26" s="1"/>
  <c r="Y157" i="12"/>
  <c r="Y63" i="26"/>
  <c r="Y66" i="26" s="1"/>
  <c r="AD46" i="12"/>
  <c r="AC157" i="12"/>
  <c r="AC63" i="26"/>
  <c r="AD157" i="12"/>
  <c r="AD63" i="26"/>
  <c r="AD66" i="26" s="1"/>
  <c r="U157" i="12"/>
  <c r="U63" i="26"/>
  <c r="U66" i="26" s="1"/>
  <c r="J157" i="12"/>
  <c r="J63" i="26"/>
  <c r="K83" i="26" s="1"/>
  <c r="K86" i="26" s="1"/>
  <c r="R157" i="12"/>
  <c r="R63" i="26"/>
  <c r="R66" i="26" s="1"/>
  <c r="O157" i="12"/>
  <c r="O63" i="26"/>
  <c r="X157" i="12"/>
  <c r="X63" i="26"/>
  <c r="Q157" i="12"/>
  <c r="Q63" i="26"/>
  <c r="Q66" i="26" s="1"/>
  <c r="W157" i="12"/>
  <c r="W63" i="26"/>
  <c r="W66" i="26" s="1"/>
  <c r="P157" i="12"/>
  <c r="P63" i="26"/>
  <c r="P66" i="26" s="1"/>
  <c r="AA172" i="12"/>
  <c r="Q174" i="12"/>
  <c r="Q177" i="12" s="1"/>
  <c r="Q206" i="12" s="1"/>
  <c r="L174" i="12"/>
  <c r="L177" i="12" s="1"/>
  <c r="L188" i="12" s="1"/>
  <c r="L89" i="14" s="1"/>
  <c r="L91" i="14" s="1"/>
  <c r="U174" i="12"/>
  <c r="U177" i="12" s="1"/>
  <c r="U206" i="12" s="1"/>
  <c r="AC174" i="12"/>
  <c r="L157" i="12"/>
  <c r="J174" i="12"/>
  <c r="J177" i="12" s="1"/>
  <c r="J188" i="12" s="1"/>
  <c r="J89" i="14" s="1"/>
  <c r="J91" i="14" s="1"/>
  <c r="N174" i="12"/>
  <c r="N177" i="12" s="1"/>
  <c r="N206" i="12" s="1"/>
  <c r="W174" i="12"/>
  <c r="W177" i="12" s="1"/>
  <c r="W206" i="12" s="1"/>
  <c r="Y174" i="12"/>
  <c r="Y177" i="12" s="1"/>
  <c r="Y188" i="12" s="1"/>
  <c r="Y89" i="14" s="1"/>
  <c r="O174" i="12"/>
  <c r="O177" i="12" s="1"/>
  <c r="O188" i="12" s="1"/>
  <c r="O89" i="14" s="1"/>
  <c r="X174" i="12"/>
  <c r="X177" i="12" s="1"/>
  <c r="X206" i="12" s="1"/>
  <c r="AB157" i="12"/>
  <c r="I174" i="12"/>
  <c r="I177" i="12" s="1"/>
  <c r="I206" i="12" s="1"/>
  <c r="AD174" i="12"/>
  <c r="K157" i="12"/>
  <c r="K174" i="12"/>
  <c r="K177" i="12" s="1"/>
  <c r="K206" i="12" s="1"/>
  <c r="S174" i="12"/>
  <c r="S177" i="12" s="1"/>
  <c r="S206" i="12" s="1"/>
  <c r="R174" i="12"/>
  <c r="R177" i="12" s="1"/>
  <c r="R188" i="12" s="1"/>
  <c r="R89" i="14" s="1"/>
  <c r="G174" i="12"/>
  <c r="G177" i="12" s="1"/>
  <c r="G206" i="12" s="1"/>
  <c r="G209" i="12" s="1"/>
  <c r="G212" i="12" s="1"/>
  <c r="G213" i="12" s="1"/>
  <c r="G137" i="12" s="1"/>
  <c r="AA174" i="12"/>
  <c r="Z174" i="12"/>
  <c r="Z177" i="12" s="1"/>
  <c r="Z206" i="12" s="1"/>
  <c r="P174" i="12"/>
  <c r="P177" i="12" s="1"/>
  <c r="P188" i="12" s="1"/>
  <c r="P89" i="14" s="1"/>
  <c r="V174" i="12"/>
  <c r="V177" i="12" s="1"/>
  <c r="V188" i="12" s="1"/>
  <c r="V89" i="14" s="1"/>
  <c r="H157" i="12"/>
  <c r="H174" i="12"/>
  <c r="H177" i="12" s="1"/>
  <c r="H206" i="12" s="1"/>
  <c r="T157" i="12"/>
  <c r="T174" i="12"/>
  <c r="T177" i="12" s="1"/>
  <c r="T206" i="12" s="1"/>
  <c r="H66" i="26"/>
  <c r="AC102" i="12"/>
  <c r="AC112" i="12" s="1"/>
  <c r="T66" i="26"/>
  <c r="K66" i="26"/>
  <c r="Q5" i="9"/>
  <c r="Q4" i="9"/>
  <c r="L4" i="9"/>
  <c r="L5" i="9"/>
  <c r="R6" i="9"/>
  <c r="S7" i="9"/>
  <c r="N6" i="9"/>
  <c r="M6" i="9"/>
  <c r="BI7" i="14" l="1"/>
  <c r="BH6" i="14"/>
  <c r="BG4" i="14"/>
  <c r="BG5" i="14"/>
  <c r="AG23" i="12"/>
  <c r="AG147" i="12" s="1"/>
  <c r="AG149" i="12" s="1"/>
  <c r="AG17" i="26"/>
  <c r="AE83" i="26"/>
  <c r="AH11" i="12"/>
  <c r="AH11" i="26"/>
  <c r="AF82" i="26"/>
  <c r="AG82" i="26"/>
  <c r="AG30" i="26"/>
  <c r="AG35" i="26"/>
  <c r="AF85" i="26"/>
  <c r="BH92" i="12"/>
  <c r="AB47" i="26"/>
  <c r="AB49" i="26" s="1"/>
  <c r="AB51" i="26" s="1"/>
  <c r="AB81" i="26" s="1"/>
  <c r="BD87" i="12"/>
  <c r="BD89" i="12" s="1"/>
  <c r="BD95" i="12" s="1"/>
  <c r="BD20" i="12"/>
  <c r="BD21" i="12" s="1"/>
  <c r="BE87" i="12"/>
  <c r="BE89" i="12" s="1"/>
  <c r="BE95" i="12" s="1"/>
  <c r="BE20" i="12"/>
  <c r="BG88" i="12"/>
  <c r="AF176" i="12"/>
  <c r="AB162" i="12"/>
  <c r="AB177" i="12"/>
  <c r="AB206" i="12" s="1"/>
  <c r="AP69" i="12"/>
  <c r="AD71" i="12"/>
  <c r="AD72" i="12" s="1"/>
  <c r="AD109" i="12" s="1"/>
  <c r="AQ69" i="12"/>
  <c r="AE71" i="12"/>
  <c r="AE72" i="12" s="1"/>
  <c r="AE109" i="12" s="1"/>
  <c r="AE37" i="26" s="1"/>
  <c r="AF68" i="12"/>
  <c r="AF70" i="12" s="1"/>
  <c r="AA71" i="26"/>
  <c r="N83" i="26"/>
  <c r="N86" i="26" s="1"/>
  <c r="N108" i="26" s="1"/>
  <c r="AC83" i="26"/>
  <c r="BI6" i="12"/>
  <c r="BI41" i="12" s="1"/>
  <c r="BJ7" i="12"/>
  <c r="BE75" i="12"/>
  <c r="BE58" i="12"/>
  <c r="BF56" i="12"/>
  <c r="BH4" i="12"/>
  <c r="BH5" i="12"/>
  <c r="BH152" i="12"/>
  <c r="M83" i="26"/>
  <c r="M86" i="26" s="1"/>
  <c r="M108" i="26" s="1"/>
  <c r="AG76" i="9"/>
  <c r="AG45" i="12"/>
  <c r="AG46" i="12" s="1"/>
  <c r="AE102" i="12"/>
  <c r="AE112" i="12" s="1"/>
  <c r="AE40" i="26" s="1"/>
  <c r="AF100" i="12"/>
  <c r="AF101" i="12"/>
  <c r="AG24" i="12"/>
  <c r="AG64" i="12"/>
  <c r="AG139" i="12"/>
  <c r="AG141" i="12" s="1"/>
  <c r="AG58" i="26" s="1"/>
  <c r="AG151" i="12"/>
  <c r="AG153" i="12" s="1"/>
  <c r="AG64" i="26" s="1"/>
  <c r="AH12" i="12"/>
  <c r="AH60" i="12"/>
  <c r="BE36" i="9"/>
  <c r="BE14" i="26" s="1"/>
  <c r="BE15" i="26" s="1"/>
  <c r="Q83" i="26"/>
  <c r="Q86" i="26" s="1"/>
  <c r="Q108" i="26" s="1"/>
  <c r="U83" i="26"/>
  <c r="U86" i="26" s="1"/>
  <c r="U108" i="26" s="1"/>
  <c r="BE26" i="9"/>
  <c r="BE29" i="9" s="1"/>
  <c r="BD41" i="9"/>
  <c r="BG23" i="9"/>
  <c r="BF27" i="9"/>
  <c r="BF35" i="9"/>
  <c r="BF19" i="12" s="1"/>
  <c r="BF91" i="12" s="1"/>
  <c r="BF93" i="12" s="1"/>
  <c r="BF54" i="9"/>
  <c r="BF56" i="9" s="1"/>
  <c r="BF58" i="9" s="1"/>
  <c r="BF17" i="9"/>
  <c r="BF34" i="9"/>
  <c r="BF18" i="12" s="1"/>
  <c r="BG13" i="9"/>
  <c r="BE63" i="9"/>
  <c r="BE69" i="9"/>
  <c r="AI18" i="9"/>
  <c r="AI19" i="9" s="1"/>
  <c r="AH68" i="9"/>
  <c r="AH70" i="9" s="1"/>
  <c r="AH62" i="9"/>
  <c r="AH64" i="9" s="1"/>
  <c r="AH20" i="26" s="1"/>
  <c r="O83" i="26"/>
  <c r="O86" i="26" s="1"/>
  <c r="O108" i="26" s="1"/>
  <c r="P83" i="26"/>
  <c r="P86" i="26" s="1"/>
  <c r="P108" i="26" s="1"/>
  <c r="M206" i="12"/>
  <c r="Y83" i="26"/>
  <c r="Y86" i="26" s="1"/>
  <c r="Y108" i="26" s="1"/>
  <c r="O66" i="26"/>
  <c r="W188" i="12"/>
  <c r="W89" i="14" s="1"/>
  <c r="W91" i="14" s="1"/>
  <c r="G66" i="26"/>
  <c r="L83" i="26"/>
  <c r="L86" i="26" s="1"/>
  <c r="L108" i="26" s="1"/>
  <c r="J66" i="26"/>
  <c r="I83" i="26"/>
  <c r="I86" i="26" s="1"/>
  <c r="I108" i="26" s="1"/>
  <c r="J83" i="26"/>
  <c r="J86" i="26" s="1"/>
  <c r="J108" i="26" s="1"/>
  <c r="R83" i="26"/>
  <c r="R86" i="26" s="1"/>
  <c r="R108" i="26" s="1"/>
  <c r="G83" i="26"/>
  <c r="G86" i="26" s="1"/>
  <c r="G108" i="26" s="1"/>
  <c r="G111" i="26" s="1"/>
  <c r="G114" i="26" s="1"/>
  <c r="G115" i="26" s="1"/>
  <c r="AD83" i="26"/>
  <c r="Q188" i="12"/>
  <c r="Q89" i="14" s="1"/>
  <c r="Q91" i="14" s="1"/>
  <c r="W83" i="26"/>
  <c r="W86" i="26" s="1"/>
  <c r="W108" i="26" s="1"/>
  <c r="X83" i="26"/>
  <c r="X86" i="26" s="1"/>
  <c r="X108" i="26" s="1"/>
  <c r="S83" i="26"/>
  <c r="S86" i="26" s="1"/>
  <c r="S108" i="26" s="1"/>
  <c r="Z83" i="26"/>
  <c r="Z86" i="26" s="1"/>
  <c r="Z108" i="26" s="1"/>
  <c r="AB83" i="26"/>
  <c r="L206" i="12"/>
  <c r="Z66" i="26"/>
  <c r="AA83" i="26"/>
  <c r="AA86" i="26" s="1"/>
  <c r="AA108" i="26" s="1"/>
  <c r="S66" i="26"/>
  <c r="AC66" i="26"/>
  <c r="X66" i="26"/>
  <c r="N66" i="26"/>
  <c r="T83" i="26"/>
  <c r="T86" i="26" s="1"/>
  <c r="T108" i="26" s="1"/>
  <c r="AA177" i="12"/>
  <c r="AA206" i="12" s="1"/>
  <c r="AC114" i="12"/>
  <c r="AC116" i="12" s="1"/>
  <c r="AC40" i="26"/>
  <c r="AC42" i="26" s="1"/>
  <c r="AC44" i="26" s="1"/>
  <c r="AC45" i="26" s="1"/>
  <c r="V83" i="26"/>
  <c r="V86" i="26" s="1"/>
  <c r="V108" i="26" s="1"/>
  <c r="G143" i="12"/>
  <c r="G166" i="12" s="1"/>
  <c r="G57" i="26"/>
  <c r="N188" i="12"/>
  <c r="N89" i="14" s="1"/>
  <c r="G188" i="12"/>
  <c r="G190" i="12" s="1"/>
  <c r="H211" i="12"/>
  <c r="U188" i="12"/>
  <c r="U89" i="14" s="1"/>
  <c r="U91" i="14" s="1"/>
  <c r="V91" i="14"/>
  <c r="V206" i="12"/>
  <c r="I188" i="12"/>
  <c r="I89" i="14" s="1"/>
  <c r="X188" i="12"/>
  <c r="X89" i="14" s="1"/>
  <c r="X91" i="14" s="1"/>
  <c r="T188" i="12"/>
  <c r="T89" i="14" s="1"/>
  <c r="T91" i="14" s="1"/>
  <c r="Y91" i="14"/>
  <c r="O91" i="14"/>
  <c r="O206" i="12"/>
  <c r="P91" i="14"/>
  <c r="P206" i="12"/>
  <c r="J206" i="12"/>
  <c r="R206" i="12"/>
  <c r="R91" i="14"/>
  <c r="Y206" i="12"/>
  <c r="K188" i="12"/>
  <c r="K89" i="14" s="1"/>
  <c r="Z188" i="12"/>
  <c r="Z89" i="14" s="1"/>
  <c r="Z91" i="14" s="1"/>
  <c r="H188" i="12"/>
  <c r="H89" i="14" s="1"/>
  <c r="H91" i="14" s="1"/>
  <c r="S188" i="12"/>
  <c r="S89" i="14" s="1"/>
  <c r="S91" i="14" s="1"/>
  <c r="H108" i="26"/>
  <c r="K108" i="26"/>
  <c r="AB188" i="12"/>
  <c r="AB89" i="14" s="1"/>
  <c r="R5" i="9"/>
  <c r="R4" i="9"/>
  <c r="M5" i="9"/>
  <c r="M4" i="9"/>
  <c r="N4" i="9"/>
  <c r="N5" i="9"/>
  <c r="S6" i="9"/>
  <c r="T7" i="9"/>
  <c r="BH4" i="14" l="1"/>
  <c r="BH5" i="14"/>
  <c r="BI6" i="14"/>
  <c r="BJ7" i="14"/>
  <c r="AG84" i="26"/>
  <c r="AH21" i="26"/>
  <c r="AH12" i="26"/>
  <c r="AG174" i="12"/>
  <c r="AG63" i="26"/>
  <c r="AG83" i="26" s="1"/>
  <c r="AH35" i="12"/>
  <c r="AH82" i="12" s="1"/>
  <c r="AH110" i="12" s="1"/>
  <c r="AH38" i="26" s="1"/>
  <c r="AH29" i="26"/>
  <c r="AE42" i="26"/>
  <c r="AE44" i="26" s="1"/>
  <c r="AG29" i="12"/>
  <c r="AG155" i="12" s="1"/>
  <c r="AG157" i="12" s="1"/>
  <c r="AG23" i="26"/>
  <c r="AG65" i="26" s="1"/>
  <c r="AG18" i="26"/>
  <c r="H187" i="12"/>
  <c r="AB86" i="26"/>
  <c r="AB108" i="26" s="1"/>
  <c r="BI92" i="12"/>
  <c r="AB71" i="26"/>
  <c r="BF87" i="12"/>
  <c r="BF89" i="12" s="1"/>
  <c r="BF95" i="12" s="1"/>
  <c r="BF20" i="12"/>
  <c r="BD111" i="12"/>
  <c r="BD39" i="26" s="1"/>
  <c r="BH88" i="12"/>
  <c r="AH40" i="12"/>
  <c r="AH43" i="12" s="1"/>
  <c r="AH32" i="26" s="1"/>
  <c r="AH34" i="26" s="1"/>
  <c r="AE114" i="12"/>
  <c r="AE116" i="12" s="1"/>
  <c r="AE127" i="12" s="1"/>
  <c r="AR69" i="12"/>
  <c r="AF71" i="12"/>
  <c r="AF72" i="12" s="1"/>
  <c r="AF109" i="12" s="1"/>
  <c r="AF37" i="26" s="1"/>
  <c r="AF42" i="26" s="1"/>
  <c r="AF44" i="26" s="1"/>
  <c r="AD114" i="12"/>
  <c r="AD116" i="12" s="1"/>
  <c r="AD37" i="26"/>
  <c r="AD42" i="26" s="1"/>
  <c r="AD44" i="26" s="1"/>
  <c r="AD45" i="26" s="1"/>
  <c r="AG77" i="9"/>
  <c r="BF75" i="12"/>
  <c r="BF58" i="12"/>
  <c r="BG56" i="12"/>
  <c r="BK7" i="12"/>
  <c r="BJ6" i="12"/>
  <c r="BJ41" i="12" s="1"/>
  <c r="BI5" i="12"/>
  <c r="BI4" i="12"/>
  <c r="BI152" i="12"/>
  <c r="AC124" i="12"/>
  <c r="AC125" i="12" s="1"/>
  <c r="AD123" i="12" s="1"/>
  <c r="AH75" i="9"/>
  <c r="AH26" i="12"/>
  <c r="AH27" i="12" s="1"/>
  <c r="BE111" i="12"/>
  <c r="BE39" i="26" s="1"/>
  <c r="BE21" i="12"/>
  <c r="AH76" i="12"/>
  <c r="AH62" i="12"/>
  <c r="AG173" i="12"/>
  <c r="AG175" i="12"/>
  <c r="AH36" i="12"/>
  <c r="AH106" i="12"/>
  <c r="AH113" i="12" s="1"/>
  <c r="AH41" i="26" s="1"/>
  <c r="AG176" i="12"/>
  <c r="AG77" i="12"/>
  <c r="AG78" i="12" s="1"/>
  <c r="AG99" i="12" s="1"/>
  <c r="AG66" i="12"/>
  <c r="AF102" i="12"/>
  <c r="AF112" i="12" s="1"/>
  <c r="AF40" i="26" s="1"/>
  <c r="BF36" i="9"/>
  <c r="BF14" i="26" s="1"/>
  <c r="AA188" i="12"/>
  <c r="AA89" i="14" s="1"/>
  <c r="AA91" i="14" s="1"/>
  <c r="AH74" i="9"/>
  <c r="AH72" i="9"/>
  <c r="BH23" i="9"/>
  <c r="BG27" i="9"/>
  <c r="BG54" i="9"/>
  <c r="BG56" i="9" s="1"/>
  <c r="BG58" i="9" s="1"/>
  <c r="BG35" i="9"/>
  <c r="BG19" i="12" s="1"/>
  <c r="BG91" i="12" s="1"/>
  <c r="BG93" i="12" s="1"/>
  <c r="AI48" i="9"/>
  <c r="AI50" i="9" s="1"/>
  <c r="AJ16" i="9"/>
  <c r="AJ18" i="9" s="1"/>
  <c r="AJ19" i="9" s="1"/>
  <c r="AI40" i="9"/>
  <c r="AI42" i="9" s="1"/>
  <c r="BF63" i="9"/>
  <c r="BF69" i="9"/>
  <c r="AC127" i="12"/>
  <c r="AC129" i="12" s="1"/>
  <c r="AC131" i="12" s="1"/>
  <c r="AC162" i="12" s="1"/>
  <c r="BG34" i="9"/>
  <c r="BG18" i="12" s="1"/>
  <c r="BH13" i="9"/>
  <c r="BG17" i="9"/>
  <c r="BF26" i="9"/>
  <c r="BF29" i="9" s="1"/>
  <c r="BE41" i="9"/>
  <c r="AC117" i="12"/>
  <c r="H190" i="12"/>
  <c r="I187" i="12" s="1"/>
  <c r="I190" i="12" s="1"/>
  <c r="J187" i="12" s="1"/>
  <c r="J190" i="12" s="1"/>
  <c r="K187" i="12" s="1"/>
  <c r="K190" i="12" s="1"/>
  <c r="L187" i="12" s="1"/>
  <c r="L190" i="12" s="1"/>
  <c r="M187" i="12" s="1"/>
  <c r="M190" i="12" s="1"/>
  <c r="N187" i="12" s="1"/>
  <c r="N190" i="12" s="1"/>
  <c r="I91" i="14"/>
  <c r="N91" i="14"/>
  <c r="G89" i="14"/>
  <c r="K91" i="14"/>
  <c r="H113" i="26"/>
  <c r="G59" i="26"/>
  <c r="G75" i="26" s="1"/>
  <c r="AB91" i="14"/>
  <c r="S5" i="9"/>
  <c r="S4" i="9"/>
  <c r="U7" i="9"/>
  <c r="T6" i="9"/>
  <c r="BJ6" i="14" l="1"/>
  <c r="BK7" i="14"/>
  <c r="BI4" i="14"/>
  <c r="BI5" i="14"/>
  <c r="AI11" i="12"/>
  <c r="AI11" i="26"/>
  <c r="AI12" i="26" s="1"/>
  <c r="AE45" i="26"/>
  <c r="AG85" i="26"/>
  <c r="AH65" i="26"/>
  <c r="AH30" i="26"/>
  <c r="AF45" i="26"/>
  <c r="AH35" i="26"/>
  <c r="AG66" i="26"/>
  <c r="BF15" i="26"/>
  <c r="AH23" i="12"/>
  <c r="AH147" i="12" s="1"/>
  <c r="AH149" i="12" s="1"/>
  <c r="AH17" i="26"/>
  <c r="AE129" i="12"/>
  <c r="AE131" i="12" s="1"/>
  <c r="AE172" i="12" s="1"/>
  <c r="AE177" i="12" s="1"/>
  <c r="AE206" i="12" s="1"/>
  <c r="AE47" i="26"/>
  <c r="AE49" i="26" s="1"/>
  <c r="AE51" i="26" s="1"/>
  <c r="AE81" i="26" s="1"/>
  <c r="AE86" i="26" s="1"/>
  <c r="AE108" i="26" s="1"/>
  <c r="BJ92" i="12"/>
  <c r="BG20" i="12"/>
  <c r="BG87" i="12"/>
  <c r="BG89" i="12" s="1"/>
  <c r="BG95" i="12" s="1"/>
  <c r="BI88" i="12"/>
  <c r="AE124" i="12"/>
  <c r="AF114" i="12"/>
  <c r="AF116" i="12" s="1"/>
  <c r="AF127" i="12" s="1"/>
  <c r="AE117" i="12"/>
  <c r="AD117" i="12"/>
  <c r="AD124" i="12"/>
  <c r="AD125" i="12" s="1"/>
  <c r="AE123" i="12" s="1"/>
  <c r="AE125" i="12" s="1"/>
  <c r="AF123" i="12" s="1"/>
  <c r="AD127" i="12"/>
  <c r="AG68" i="12"/>
  <c r="AG70" i="12" s="1"/>
  <c r="BK6" i="12"/>
  <c r="BK41" i="12" s="1"/>
  <c r="BL7" i="12"/>
  <c r="BG75" i="12"/>
  <c r="BG58" i="12"/>
  <c r="BH56" i="12"/>
  <c r="BJ5" i="12"/>
  <c r="BJ4" i="12"/>
  <c r="BJ152" i="12"/>
  <c r="AH45" i="12"/>
  <c r="AH46" i="12" s="1"/>
  <c r="AH24" i="12"/>
  <c r="AH139" i="12"/>
  <c r="AH141" i="12" s="1"/>
  <c r="AH58" i="26" s="1"/>
  <c r="AH151" i="12"/>
  <c r="AH153" i="12" s="1"/>
  <c r="AH64" i="26" s="1"/>
  <c r="AH64" i="12"/>
  <c r="AF117" i="12"/>
  <c r="AI60" i="12"/>
  <c r="AI12" i="12"/>
  <c r="AH76" i="9"/>
  <c r="AH23" i="26" s="1"/>
  <c r="AG100" i="12"/>
  <c r="AG101" i="12"/>
  <c r="BF21" i="12"/>
  <c r="BF111" i="12"/>
  <c r="BF39" i="26" s="1"/>
  <c r="BG36" i="9"/>
  <c r="AC47" i="26"/>
  <c r="AC49" i="26" s="1"/>
  <c r="AC51" i="26" s="1"/>
  <c r="AC81" i="26" s="1"/>
  <c r="AC86" i="26" s="1"/>
  <c r="AC108" i="26" s="1"/>
  <c r="BH34" i="9"/>
  <c r="BH18" i="12" s="1"/>
  <c r="BI13" i="9"/>
  <c r="BH17" i="9"/>
  <c r="BG26" i="9"/>
  <c r="BG29" i="9" s="1"/>
  <c r="BF41" i="9"/>
  <c r="BG63" i="9"/>
  <c r="BG69" i="9"/>
  <c r="AK16" i="9"/>
  <c r="AK18" i="9" s="1"/>
  <c r="AK19" i="9" s="1"/>
  <c r="AJ48" i="9"/>
  <c r="AJ50" i="9" s="1"/>
  <c r="AJ40" i="9"/>
  <c r="AJ42" i="9" s="1"/>
  <c r="AI62" i="9"/>
  <c r="AI64" i="9" s="1"/>
  <c r="AI20" i="26" s="1"/>
  <c r="AI21" i="26" s="1"/>
  <c r="AI68" i="9"/>
  <c r="AI70" i="9" s="1"/>
  <c r="BH35" i="9"/>
  <c r="BH19" i="12" s="1"/>
  <c r="BH91" i="12" s="1"/>
  <c r="BH93" i="12" s="1"/>
  <c r="BH54" i="9"/>
  <c r="BH56" i="9" s="1"/>
  <c r="BH58" i="9" s="1"/>
  <c r="BH27" i="9"/>
  <c r="BI23" i="9"/>
  <c r="AC172" i="12"/>
  <c r="AC177" i="12" s="1"/>
  <c r="AC188" i="12" s="1"/>
  <c r="AC89" i="14" s="1"/>
  <c r="O187" i="12"/>
  <c r="O190" i="12" s="1"/>
  <c r="P187" i="12" s="1"/>
  <c r="P190" i="12" s="1"/>
  <c r="Q187" i="12" s="1"/>
  <c r="Q190" i="12" s="1"/>
  <c r="R187" i="12" s="1"/>
  <c r="R190" i="12" s="1"/>
  <c r="S187" i="12" s="1"/>
  <c r="S190" i="12" s="1"/>
  <c r="T187" i="12" s="1"/>
  <c r="T190" i="12" s="1"/>
  <c r="U187" i="12" s="1"/>
  <c r="U190" i="12" s="1"/>
  <c r="V187" i="12" s="1"/>
  <c r="V190" i="12" s="1"/>
  <c r="W187" i="12" s="1"/>
  <c r="W190" i="12" s="1"/>
  <c r="X187" i="12" s="1"/>
  <c r="X190" i="12" s="1"/>
  <c r="Y187" i="12" s="1"/>
  <c r="Y190" i="12" s="1"/>
  <c r="Z187" i="12" s="1"/>
  <c r="Z190" i="12" s="1"/>
  <c r="AA187" i="12" s="1"/>
  <c r="AA190" i="12" s="1"/>
  <c r="AB187" i="12" s="1"/>
  <c r="AB190" i="12" s="1"/>
  <c r="AC187" i="12" s="1"/>
  <c r="T4" i="9"/>
  <c r="T5" i="9"/>
  <c r="V7" i="9"/>
  <c r="U6" i="9"/>
  <c r="BK6" i="14" l="1"/>
  <c r="BL7" i="14"/>
  <c r="BJ4" i="14"/>
  <c r="BJ5" i="14"/>
  <c r="AJ11" i="12"/>
  <c r="AJ11" i="26"/>
  <c r="AJ12" i="26" s="1"/>
  <c r="BG21" i="12"/>
  <c r="BG14" i="26"/>
  <c r="BG15" i="26" s="1"/>
  <c r="AE188" i="12"/>
  <c r="AH84" i="26"/>
  <c r="AH82" i="26"/>
  <c r="AH85" i="26"/>
  <c r="AF129" i="12"/>
  <c r="AF131" i="12" s="1"/>
  <c r="AF47" i="26"/>
  <c r="AF49" i="26" s="1"/>
  <c r="AF51" i="26" s="1"/>
  <c r="AF81" i="26" s="1"/>
  <c r="AF86" i="26" s="1"/>
  <c r="AF108" i="26" s="1"/>
  <c r="AH18" i="26"/>
  <c r="AI35" i="12"/>
  <c r="AI40" i="12" s="1"/>
  <c r="AI43" i="12" s="1"/>
  <c r="AI32" i="26" s="1"/>
  <c r="AI34" i="26" s="1"/>
  <c r="AI29" i="26"/>
  <c r="AI30" i="26" s="1"/>
  <c r="AH174" i="12"/>
  <c r="AH63" i="26"/>
  <c r="AH83" i="26" s="1"/>
  <c r="G198" i="12"/>
  <c r="G197" i="12"/>
  <c r="BK92" i="12"/>
  <c r="BH87" i="12"/>
  <c r="BH89" i="12" s="1"/>
  <c r="BH95" i="12" s="1"/>
  <c r="BH20" i="12"/>
  <c r="BJ88" i="12"/>
  <c r="AF124" i="12"/>
  <c r="AI82" i="12"/>
  <c r="AI110" i="12" s="1"/>
  <c r="AI38" i="26" s="1"/>
  <c r="AS69" i="12"/>
  <c r="AG71" i="12"/>
  <c r="AG72" i="12" s="1"/>
  <c r="AG109" i="12" s="1"/>
  <c r="AG37" i="26" s="1"/>
  <c r="AD129" i="12"/>
  <c r="AD131" i="12" s="1"/>
  <c r="AD47" i="26"/>
  <c r="AD49" i="26" s="1"/>
  <c r="AD51" i="26" s="1"/>
  <c r="AD81" i="26" s="1"/>
  <c r="AD86" i="26" s="1"/>
  <c r="AD108" i="26" s="1"/>
  <c r="AC71" i="26"/>
  <c r="BH75" i="12"/>
  <c r="BH58" i="12"/>
  <c r="BI56" i="12"/>
  <c r="BM7" i="12"/>
  <c r="BL6" i="12"/>
  <c r="BL41" i="12" s="1"/>
  <c r="BK5" i="12"/>
  <c r="BK4" i="12"/>
  <c r="BK152" i="12"/>
  <c r="AF125" i="12"/>
  <c r="AG123" i="12" s="1"/>
  <c r="AF172" i="12"/>
  <c r="AF177" i="12" s="1"/>
  <c r="AJ12" i="12"/>
  <c r="AJ60" i="12"/>
  <c r="AH175" i="12"/>
  <c r="AG102" i="12"/>
  <c r="AG112" i="12" s="1"/>
  <c r="AG40" i="26" s="1"/>
  <c r="AI76" i="12"/>
  <c r="AI62" i="12"/>
  <c r="AH173" i="12"/>
  <c r="AI106" i="12"/>
  <c r="AI113" i="12" s="1"/>
  <c r="AI41" i="26" s="1"/>
  <c r="AI36" i="12"/>
  <c r="AI75" i="9"/>
  <c r="AI26" i="12"/>
  <c r="BG111" i="12"/>
  <c r="BG39" i="26" s="1"/>
  <c r="AH77" i="9"/>
  <c r="AH29" i="12"/>
  <c r="AH155" i="12" s="1"/>
  <c r="AH157" i="12" s="1"/>
  <c r="AH77" i="12"/>
  <c r="AH78" i="12" s="1"/>
  <c r="AH99" i="12" s="1"/>
  <c r="AH66" i="12"/>
  <c r="AC206" i="12"/>
  <c r="BH36" i="9"/>
  <c r="BH14" i="26" s="1"/>
  <c r="BH15" i="26" s="1"/>
  <c r="BH26" i="9"/>
  <c r="BH29" i="9" s="1"/>
  <c r="BG41" i="9"/>
  <c r="AJ62" i="9"/>
  <c r="AJ64" i="9" s="1"/>
  <c r="AJ20" i="26" s="1"/>
  <c r="AJ21" i="26" s="1"/>
  <c r="AJ68" i="9"/>
  <c r="AJ70" i="9" s="1"/>
  <c r="BH63" i="9"/>
  <c r="BH69" i="9"/>
  <c r="BI35" i="9"/>
  <c r="BI19" i="12" s="1"/>
  <c r="BI91" i="12" s="1"/>
  <c r="BI93" i="12" s="1"/>
  <c r="BI54" i="9"/>
  <c r="BI56" i="9" s="1"/>
  <c r="BI58" i="9" s="1"/>
  <c r="BI27" i="9"/>
  <c r="BJ23" i="9"/>
  <c r="AI72" i="9"/>
  <c r="AI74" i="9"/>
  <c r="AK48" i="9"/>
  <c r="AK50" i="9" s="1"/>
  <c r="AL16" i="9"/>
  <c r="AK40" i="9"/>
  <c r="AK42" i="9" s="1"/>
  <c r="BI17" i="9"/>
  <c r="BI34" i="9"/>
  <c r="BI18" i="12" s="1"/>
  <c r="BJ13" i="9"/>
  <c r="AC190" i="12"/>
  <c r="AD187" i="12" s="1"/>
  <c r="AC91" i="14"/>
  <c r="U5" i="9"/>
  <c r="U4" i="9"/>
  <c r="V6" i="9"/>
  <c r="W7" i="9"/>
  <c r="BK4" i="14" l="1"/>
  <c r="BK5" i="14"/>
  <c r="BM7" i="14"/>
  <c r="BL6" i="14"/>
  <c r="AI35" i="26"/>
  <c r="AH66" i="26"/>
  <c r="AG42" i="26"/>
  <c r="AG44" i="26" s="1"/>
  <c r="AJ35" i="12"/>
  <c r="AJ82" i="12" s="1"/>
  <c r="AJ110" i="12" s="1"/>
  <c r="AJ38" i="26" s="1"/>
  <c r="AJ29" i="26"/>
  <c r="AJ30" i="26" s="1"/>
  <c r="AK11" i="12"/>
  <c r="AK11" i="26"/>
  <c r="AK12" i="26" s="1"/>
  <c r="AI23" i="12"/>
  <c r="AI147" i="12" s="1"/>
  <c r="AI149" i="12" s="1"/>
  <c r="AI17" i="26"/>
  <c r="AI18" i="26" s="1"/>
  <c r="BL92" i="12"/>
  <c r="BH111" i="12"/>
  <c r="BH39" i="26" s="1"/>
  <c r="BI87" i="12"/>
  <c r="BI89" i="12" s="1"/>
  <c r="BI95" i="12" s="1"/>
  <c r="BI20" i="12"/>
  <c r="BK88" i="12"/>
  <c r="AD172" i="12"/>
  <c r="AD177" i="12" s="1"/>
  <c r="AD162" i="12"/>
  <c r="AE162" i="12" s="1"/>
  <c r="AF162" i="12" s="1"/>
  <c r="AG114" i="12"/>
  <c r="AG116" i="12" s="1"/>
  <c r="AG117" i="12" s="1"/>
  <c r="AD71" i="26"/>
  <c r="AE71" i="26" s="1"/>
  <c r="AF71" i="26" s="1"/>
  <c r="AH68" i="12"/>
  <c r="AH70" i="12" s="1"/>
  <c r="AJ36" i="12"/>
  <c r="BM6" i="12"/>
  <c r="BM41" i="12" s="1"/>
  <c r="BN7" i="12"/>
  <c r="BI75" i="12"/>
  <c r="BI58" i="12"/>
  <c r="BJ56" i="12"/>
  <c r="BL5" i="12"/>
  <c r="BL4" i="12"/>
  <c r="BL152" i="12"/>
  <c r="AI45" i="12"/>
  <c r="AI46" i="12" s="1"/>
  <c r="AK60" i="12"/>
  <c r="AK12" i="12"/>
  <c r="AJ75" i="9"/>
  <c r="AJ26" i="12"/>
  <c r="AJ27" i="12" s="1"/>
  <c r="AH101" i="12"/>
  <c r="AH100" i="12"/>
  <c r="BH21" i="12"/>
  <c r="AF188" i="12"/>
  <c r="AF206" i="12"/>
  <c r="AI64" i="12"/>
  <c r="AI139" i="12"/>
  <c r="AI141" i="12" s="1"/>
  <c r="AI58" i="26" s="1"/>
  <c r="AI82" i="26" s="1"/>
  <c r="AI151" i="12"/>
  <c r="AI153" i="12" s="1"/>
  <c r="AI64" i="26" s="1"/>
  <c r="AI24" i="12"/>
  <c r="AI76" i="9"/>
  <c r="AI23" i="26" s="1"/>
  <c r="AI65" i="26" s="1"/>
  <c r="AJ106" i="12"/>
  <c r="AJ113" i="12" s="1"/>
  <c r="AJ41" i="26" s="1"/>
  <c r="AH176" i="12"/>
  <c r="AI27" i="12"/>
  <c r="AJ76" i="12"/>
  <c r="AJ62" i="12"/>
  <c r="BI63" i="9"/>
  <c r="BI69" i="9"/>
  <c r="AJ72" i="9"/>
  <c r="AJ74" i="9"/>
  <c r="BJ34" i="9"/>
  <c r="BJ18" i="12" s="1"/>
  <c r="BJ17" i="9"/>
  <c r="BK13" i="9"/>
  <c r="AL18" i="9"/>
  <c r="AL19" i="9" s="1"/>
  <c r="BJ27" i="9"/>
  <c r="BJ35" i="9"/>
  <c r="BJ19" i="12" s="1"/>
  <c r="BJ91" i="12" s="1"/>
  <c r="BJ93" i="12" s="1"/>
  <c r="BJ54" i="9"/>
  <c r="BJ56" i="9" s="1"/>
  <c r="BJ58" i="9" s="1"/>
  <c r="BK23" i="9"/>
  <c r="BI36" i="9"/>
  <c r="BI14" i="26" s="1"/>
  <c r="BI15" i="26" s="1"/>
  <c r="AK68" i="9"/>
  <c r="AK70" i="9" s="1"/>
  <c r="AK62" i="9"/>
  <c r="AK64" i="9" s="1"/>
  <c r="AK20" i="26" s="1"/>
  <c r="AK21" i="26" s="1"/>
  <c r="BH41" i="9"/>
  <c r="BI26" i="9"/>
  <c r="BI29" i="9" s="1"/>
  <c r="V4" i="9"/>
  <c r="V5" i="9"/>
  <c r="X7" i="9"/>
  <c r="W6" i="9"/>
  <c r="BL4" i="14" l="1"/>
  <c r="BL5" i="14"/>
  <c r="BM6" i="14"/>
  <c r="BN7" i="14"/>
  <c r="BN6" i="14" s="1"/>
  <c r="AJ40" i="12"/>
  <c r="AJ43" i="12" s="1"/>
  <c r="AJ32" i="26" s="1"/>
  <c r="AJ34" i="26" s="1"/>
  <c r="AG45" i="26"/>
  <c r="AJ23" i="12"/>
  <c r="AJ147" i="12" s="1"/>
  <c r="AJ149" i="12" s="1"/>
  <c r="AJ17" i="26"/>
  <c r="AJ18" i="26" s="1"/>
  <c r="AI85" i="26"/>
  <c r="AI174" i="12"/>
  <c r="AI63" i="26"/>
  <c r="AI83" i="26" s="1"/>
  <c r="AK35" i="12"/>
  <c r="AK82" i="12" s="1"/>
  <c r="AK110" i="12" s="1"/>
  <c r="AK38" i="26" s="1"/>
  <c r="AK29" i="26"/>
  <c r="AI84" i="26"/>
  <c r="AI66" i="26"/>
  <c r="BM92" i="12"/>
  <c r="BJ20" i="12"/>
  <c r="BJ87" i="12"/>
  <c r="BJ89" i="12" s="1"/>
  <c r="BJ95" i="12" s="1"/>
  <c r="BL88" i="12"/>
  <c r="AK40" i="12"/>
  <c r="AK43" i="12" s="1"/>
  <c r="AK32" i="26" s="1"/>
  <c r="AG127" i="12"/>
  <c r="AG124" i="12"/>
  <c r="AG125" i="12" s="1"/>
  <c r="AH123" i="12" s="1"/>
  <c r="AT69" i="12"/>
  <c r="AH71" i="12"/>
  <c r="AH72" i="12" s="1"/>
  <c r="AH109" i="12" s="1"/>
  <c r="AH37" i="26" s="1"/>
  <c r="AD188" i="12"/>
  <c r="AD206" i="12"/>
  <c r="BJ75" i="12"/>
  <c r="BJ58" i="12"/>
  <c r="BK56" i="12"/>
  <c r="BN6" i="12"/>
  <c r="BN41" i="12" s="1"/>
  <c r="BM5" i="12"/>
  <c r="BM4" i="12"/>
  <c r="BM152" i="12"/>
  <c r="AJ76" i="9"/>
  <c r="AI77" i="12"/>
  <c r="AI78" i="12" s="1"/>
  <c r="AI99" i="12" s="1"/>
  <c r="AI66" i="12"/>
  <c r="AK75" i="9"/>
  <c r="AK26" i="12"/>
  <c r="AK27" i="12" s="1"/>
  <c r="AJ64" i="12"/>
  <c r="AJ139" i="12"/>
  <c r="AJ141" i="12" s="1"/>
  <c r="AJ151" i="12"/>
  <c r="AJ153" i="12" s="1"/>
  <c r="AJ64" i="26" s="1"/>
  <c r="AJ45" i="12"/>
  <c r="AJ46" i="12" s="1"/>
  <c r="AJ24" i="12"/>
  <c r="AH102" i="12"/>
  <c r="AH112" i="12" s="1"/>
  <c r="AH40" i="26" s="1"/>
  <c r="AK36" i="12"/>
  <c r="AK106" i="12"/>
  <c r="AK113" i="12" s="1"/>
  <c r="AK41" i="26" s="1"/>
  <c r="AI77" i="9"/>
  <c r="AI29" i="12"/>
  <c r="AI155" i="12" s="1"/>
  <c r="AI175" i="12"/>
  <c r="AK76" i="12"/>
  <c r="AK62" i="12"/>
  <c r="BI21" i="12"/>
  <c r="BI111" i="12"/>
  <c r="BI39" i="26" s="1"/>
  <c r="AI173" i="12"/>
  <c r="BJ36" i="9"/>
  <c r="BJ14" i="26" s="1"/>
  <c r="AL40" i="9"/>
  <c r="AL42" i="9" s="1"/>
  <c r="AL48" i="9"/>
  <c r="AL50" i="9" s="1"/>
  <c r="AM16" i="9"/>
  <c r="BJ63" i="9"/>
  <c r="BJ69" i="9"/>
  <c r="AK74" i="9"/>
  <c r="AK72" i="9"/>
  <c r="BK17" i="9"/>
  <c r="BL13" i="9"/>
  <c r="BK34" i="9"/>
  <c r="BK18" i="12" s="1"/>
  <c r="BI41" i="9"/>
  <c r="BJ26" i="9"/>
  <c r="BJ29" i="9" s="1"/>
  <c r="BL23" i="9"/>
  <c r="BK35" i="9"/>
  <c r="BK19" i="12" s="1"/>
  <c r="BK91" i="12" s="1"/>
  <c r="BK93" i="12" s="1"/>
  <c r="BK27" i="9"/>
  <c r="BK54" i="9"/>
  <c r="BK56" i="9" s="1"/>
  <c r="BK58" i="9" s="1"/>
  <c r="W5" i="9"/>
  <c r="W4" i="9"/>
  <c r="X6" i="9"/>
  <c r="Y7" i="9"/>
  <c r="BN4" i="14" l="1"/>
  <c r="BN5" i="14"/>
  <c r="BM4" i="14"/>
  <c r="BM5" i="14"/>
  <c r="AJ29" i="12"/>
  <c r="AJ23" i="26"/>
  <c r="AJ65" i="26" s="1"/>
  <c r="BJ15" i="26"/>
  <c r="AH42" i="26"/>
  <c r="AH44" i="26" s="1"/>
  <c r="AJ174" i="12"/>
  <c r="AJ63" i="26"/>
  <c r="AJ83" i="26" s="1"/>
  <c r="AK34" i="26"/>
  <c r="AK30" i="26"/>
  <c r="AK23" i="12"/>
  <c r="AK147" i="12" s="1"/>
  <c r="AK149" i="12" s="1"/>
  <c r="AK17" i="26"/>
  <c r="AK18" i="26" s="1"/>
  <c r="AJ84" i="26"/>
  <c r="AL11" i="12"/>
  <c r="AL12" i="12" s="1"/>
  <c r="AL11" i="26"/>
  <c r="AJ173" i="12"/>
  <c r="AJ58" i="26"/>
  <c r="AG129" i="12"/>
  <c r="AG131" i="12" s="1"/>
  <c r="AG172" i="12" s="1"/>
  <c r="AG177" i="12" s="1"/>
  <c r="AG188" i="12" s="1"/>
  <c r="AG47" i="26"/>
  <c r="AG49" i="26" s="1"/>
  <c r="AG51" i="26" s="1"/>
  <c r="AJ35" i="26"/>
  <c r="BN92" i="12"/>
  <c r="BK20" i="12"/>
  <c r="BK87" i="12"/>
  <c r="BK89" i="12" s="1"/>
  <c r="BK95" i="12" s="1"/>
  <c r="BM88" i="12"/>
  <c r="AG206" i="12"/>
  <c r="AD89" i="14"/>
  <c r="AD91" i="14" s="1"/>
  <c r="AD190" i="12"/>
  <c r="AH114" i="12"/>
  <c r="AH116" i="12" s="1"/>
  <c r="AH117" i="12" s="1"/>
  <c r="AI68" i="12"/>
  <c r="AI70" i="12" s="1"/>
  <c r="AK76" i="9"/>
  <c r="AK23" i="26" s="1"/>
  <c r="BN4" i="12"/>
  <c r="BN5" i="12"/>
  <c r="BN152" i="12"/>
  <c r="BK75" i="12"/>
  <c r="BK58" i="12"/>
  <c r="BL56" i="12"/>
  <c r="AJ77" i="9"/>
  <c r="AJ155" i="12"/>
  <c r="AJ157" i="12" s="1"/>
  <c r="AI176" i="12"/>
  <c r="AJ77" i="12"/>
  <c r="AJ78" i="12" s="1"/>
  <c r="AJ99" i="12" s="1"/>
  <c r="AJ66" i="12"/>
  <c r="AI101" i="12"/>
  <c r="AI100" i="12"/>
  <c r="AK64" i="12"/>
  <c r="AK151" i="12"/>
  <c r="AK153" i="12" s="1"/>
  <c r="AK64" i="26" s="1"/>
  <c r="AK139" i="12"/>
  <c r="AK141" i="12" s="1"/>
  <c r="AK24" i="12"/>
  <c r="BJ111" i="12"/>
  <c r="BJ39" i="26" s="1"/>
  <c r="BJ21" i="12"/>
  <c r="AK29" i="12"/>
  <c r="AI157" i="12"/>
  <c r="AJ175" i="12"/>
  <c r="AK45" i="12"/>
  <c r="AK46" i="12" s="1"/>
  <c r="BK36" i="9"/>
  <c r="BK14" i="26" s="1"/>
  <c r="BK15" i="26" s="1"/>
  <c r="BJ41" i="9"/>
  <c r="BK26" i="9"/>
  <c r="BK29" i="9" s="1"/>
  <c r="AM18" i="9"/>
  <c r="AM19" i="9" s="1"/>
  <c r="BL27" i="9"/>
  <c r="BL54" i="9"/>
  <c r="BL56" i="9" s="1"/>
  <c r="BL58" i="9" s="1"/>
  <c r="BM23" i="9"/>
  <c r="BL35" i="9"/>
  <c r="BL19" i="12" s="1"/>
  <c r="BL91" i="12" s="1"/>
  <c r="BL93" i="12" s="1"/>
  <c r="AL68" i="9"/>
  <c r="AL70" i="9" s="1"/>
  <c r="AL62" i="9"/>
  <c r="AL64" i="9" s="1"/>
  <c r="AL20" i="26" s="1"/>
  <c r="BK63" i="9"/>
  <c r="BK69" i="9"/>
  <c r="BL17" i="9"/>
  <c r="BL34" i="9"/>
  <c r="BL18" i="12" s="1"/>
  <c r="BM13" i="9"/>
  <c r="X4" i="9"/>
  <c r="X5" i="9"/>
  <c r="Y6" i="9"/>
  <c r="Z7" i="9"/>
  <c r="AL21" i="26" l="1"/>
  <c r="AL60" i="12"/>
  <c r="AK84" i="26"/>
  <c r="AG162" i="12"/>
  <c r="AG81" i="26"/>
  <c r="AG86" i="26" s="1"/>
  <c r="AG108" i="26" s="1"/>
  <c r="AG71" i="26"/>
  <c r="AL12" i="26"/>
  <c r="AK35" i="26"/>
  <c r="AL35" i="12"/>
  <c r="AL40" i="12" s="1"/>
  <c r="AL43" i="12" s="1"/>
  <c r="AL32" i="26" s="1"/>
  <c r="AL34" i="26" s="1"/>
  <c r="AL29" i="26"/>
  <c r="AJ82" i="26"/>
  <c r="AJ66" i="26"/>
  <c r="AK174" i="12"/>
  <c r="AK63" i="26"/>
  <c r="AK83" i="26" s="1"/>
  <c r="AJ85" i="26"/>
  <c r="AK65" i="26"/>
  <c r="AK173" i="12"/>
  <c r="AK58" i="26"/>
  <c r="AK82" i="26" s="1"/>
  <c r="AH45" i="26"/>
  <c r="BK111" i="12"/>
  <c r="BK39" i="26" s="1"/>
  <c r="BL87" i="12"/>
  <c r="BL89" i="12" s="1"/>
  <c r="BL95" i="12" s="1"/>
  <c r="BL20" i="12"/>
  <c r="BN88" i="12"/>
  <c r="AL82" i="12"/>
  <c r="AL110" i="12" s="1"/>
  <c r="AL38" i="26" s="1"/>
  <c r="AH127" i="12"/>
  <c r="AH124" i="12"/>
  <c r="AH125" i="12" s="1"/>
  <c r="AI123" i="12" s="1"/>
  <c r="AE187" i="12"/>
  <c r="AE190" i="12" s="1"/>
  <c r="AF187" i="12" s="1"/>
  <c r="AF190" i="12" s="1"/>
  <c r="AG187" i="12" s="1"/>
  <c r="AG190" i="12" s="1"/>
  <c r="AH187" i="12" s="1"/>
  <c r="AU69" i="12"/>
  <c r="AI71" i="12"/>
  <c r="AI72" i="12" s="1"/>
  <c r="AI109" i="12" s="1"/>
  <c r="AI37" i="26" s="1"/>
  <c r="AJ68" i="12"/>
  <c r="AJ70" i="12" s="1"/>
  <c r="AK77" i="9"/>
  <c r="BL75" i="12"/>
  <c r="BL58" i="12"/>
  <c r="BM56" i="12"/>
  <c r="BK21" i="12"/>
  <c r="AK77" i="12"/>
  <c r="AK78" i="12" s="1"/>
  <c r="AK99" i="12" s="1"/>
  <c r="AK66" i="12"/>
  <c r="AJ101" i="12"/>
  <c r="AJ100" i="12"/>
  <c r="AL75" i="9"/>
  <c r="AL26" i="12"/>
  <c r="AL27" i="12" s="1"/>
  <c r="AI102" i="12"/>
  <c r="AI112" i="12" s="1"/>
  <c r="AI40" i="26" s="1"/>
  <c r="AL76" i="12"/>
  <c r="AL62" i="12"/>
  <c r="AL36" i="12"/>
  <c r="AL106" i="12"/>
  <c r="AL113" i="12" s="1"/>
  <c r="AL41" i="26" s="1"/>
  <c r="AJ176" i="12"/>
  <c r="AK155" i="12"/>
  <c r="AK157" i="12" s="1"/>
  <c r="AK175" i="12"/>
  <c r="AL72" i="9"/>
  <c r="AL74" i="9"/>
  <c r="AM48" i="9"/>
  <c r="AM50" i="9" s="1"/>
  <c r="AN16" i="9"/>
  <c r="AN18" i="9" s="1"/>
  <c r="AN19" i="9" s="1"/>
  <c r="AM40" i="9"/>
  <c r="AM42" i="9" s="1"/>
  <c r="BM34" i="9"/>
  <c r="BM18" i="12" s="1"/>
  <c r="BM17" i="9"/>
  <c r="BN13" i="9"/>
  <c r="BM35" i="9"/>
  <c r="BM19" i="12" s="1"/>
  <c r="BM91" i="12" s="1"/>
  <c r="BM93" i="12" s="1"/>
  <c r="BM54" i="9"/>
  <c r="BM56" i="9" s="1"/>
  <c r="BM58" i="9" s="1"/>
  <c r="BN23" i="9"/>
  <c r="BM27" i="9"/>
  <c r="BL36" i="9"/>
  <c r="BL14" i="26" s="1"/>
  <c r="BL15" i="26" s="1"/>
  <c r="BL63" i="9"/>
  <c r="BL69" i="9"/>
  <c r="BL26" i="9"/>
  <c r="BL29" i="9" s="1"/>
  <c r="BK41" i="9"/>
  <c r="Y5" i="9"/>
  <c r="Y4" i="9"/>
  <c r="AA7" i="9"/>
  <c r="Z6" i="9"/>
  <c r="AL35" i="26" l="1"/>
  <c r="AL23" i="12"/>
  <c r="AL147" i="12" s="1"/>
  <c r="AL149" i="12" s="1"/>
  <c r="AL17" i="26"/>
  <c r="AM11" i="12"/>
  <c r="AM11" i="26"/>
  <c r="AM12" i="26" s="1"/>
  <c r="AI42" i="26"/>
  <c r="AI44" i="26" s="1"/>
  <c r="AL30" i="26"/>
  <c r="AH129" i="12"/>
  <c r="AH131" i="12" s="1"/>
  <c r="AH162" i="12" s="1"/>
  <c r="AH47" i="26"/>
  <c r="AH49" i="26" s="1"/>
  <c r="AH51" i="26" s="1"/>
  <c r="AH81" i="26" s="1"/>
  <c r="AH86" i="26" s="1"/>
  <c r="AH108" i="26" s="1"/>
  <c r="AK85" i="26"/>
  <c r="AK66" i="26"/>
  <c r="AH172" i="12"/>
  <c r="AH177" i="12" s="1"/>
  <c r="AH206" i="12" s="1"/>
  <c r="G100" i="26"/>
  <c r="G199" i="12"/>
  <c r="E3" i="11"/>
  <c r="G99" i="26"/>
  <c r="AM201" i="12" a="1"/>
  <c r="AM201" i="12" s="1"/>
  <c r="AM202" i="12" s="1"/>
  <c r="AM208" i="12" s="1"/>
  <c r="P201" i="12" a="1"/>
  <c r="P201" i="12" s="1"/>
  <c r="P202" i="12" s="1"/>
  <c r="P208" i="12" s="1"/>
  <c r="P209" i="12" s="1"/>
  <c r="P212" i="12" s="1"/>
  <c r="BJ201" i="12" a="1"/>
  <c r="BJ201" i="12" s="1"/>
  <c r="BJ202" i="12" s="1"/>
  <c r="BJ208" i="12" s="1"/>
  <c r="AH201" i="12" a="1"/>
  <c r="AH201" i="12" s="1"/>
  <c r="AH202" i="12" s="1"/>
  <c r="AH208" i="12" s="1"/>
  <c r="AR201" i="12" a="1"/>
  <c r="AR201" i="12" s="1"/>
  <c r="AR202" i="12" s="1"/>
  <c r="AR208" i="12" s="1"/>
  <c r="X201" i="12" a="1"/>
  <c r="X201" i="12" s="1"/>
  <c r="X202" i="12" s="1"/>
  <c r="X208" i="12" s="1"/>
  <c r="X209" i="12" s="1"/>
  <c r="X212" i="12" s="1"/>
  <c r="AL201" i="12" a="1"/>
  <c r="AL201" i="12" s="1"/>
  <c r="AL202" i="12" s="1"/>
  <c r="AL208" i="12" s="1"/>
  <c r="AV201" i="12" a="1"/>
  <c r="AV201" i="12" s="1"/>
  <c r="AV202" i="12" s="1"/>
  <c r="AV208" i="12" s="1"/>
  <c r="BK201" i="12" a="1"/>
  <c r="BK201" i="12" s="1"/>
  <c r="BK202" i="12" s="1"/>
  <c r="BK208" i="12" s="1"/>
  <c r="T201" i="12" a="1"/>
  <c r="T201" i="12" s="1"/>
  <c r="T202" i="12" s="1"/>
  <c r="T208" i="12" s="1"/>
  <c r="T209" i="12" s="1"/>
  <c r="T212" i="12" s="1"/>
  <c r="AY201" i="12" a="1"/>
  <c r="AY201" i="12" s="1"/>
  <c r="AY202" i="12" s="1"/>
  <c r="AY208" i="12" s="1"/>
  <c r="R201" i="12" a="1"/>
  <c r="R201" i="12" s="1"/>
  <c r="R202" i="12" s="1"/>
  <c r="R208" i="12" s="1"/>
  <c r="R209" i="12" s="1"/>
  <c r="R212" i="12" s="1"/>
  <c r="BE201" i="12" a="1"/>
  <c r="BE201" i="12" s="1"/>
  <c r="BE202" i="12" s="1"/>
  <c r="BE208" i="12" s="1"/>
  <c r="AO201" i="12" a="1"/>
  <c r="AO201" i="12" s="1"/>
  <c r="AO202" i="12" s="1"/>
  <c r="AO208" i="12" s="1"/>
  <c r="K201" i="12" a="1"/>
  <c r="K201" i="12" s="1"/>
  <c r="K202" i="12" s="1"/>
  <c r="K208" i="12" s="1"/>
  <c r="K209" i="12" s="1"/>
  <c r="K212" i="12" s="1"/>
  <c r="O201" i="12" a="1"/>
  <c r="O201" i="12" s="1"/>
  <c r="O202" i="12" s="1"/>
  <c r="O208" i="12" s="1"/>
  <c r="O209" i="12" s="1"/>
  <c r="O212" i="12" s="1"/>
  <c r="BD201" i="12" a="1"/>
  <c r="BD201" i="12" s="1"/>
  <c r="BD202" i="12" s="1"/>
  <c r="BD208" i="12" s="1"/>
  <c r="AD201" i="12" a="1"/>
  <c r="AD201" i="12" s="1"/>
  <c r="AD202" i="12" s="1"/>
  <c r="AD208" i="12" s="1"/>
  <c r="AD209" i="12" s="1"/>
  <c r="AD212" i="12" s="1"/>
  <c r="AG201" i="12" a="1"/>
  <c r="AG201" i="12" s="1"/>
  <c r="AG202" i="12" s="1"/>
  <c r="AG208" i="12" s="1"/>
  <c r="AG209" i="12" s="1"/>
  <c r="AG212" i="12" s="1"/>
  <c r="BL201" i="12" a="1"/>
  <c r="BL201" i="12" s="1"/>
  <c r="BL202" i="12" s="1"/>
  <c r="BL208" i="12" s="1"/>
  <c r="BN201" i="12" a="1"/>
  <c r="BN201" i="12" s="1"/>
  <c r="BN202" i="12" s="1"/>
  <c r="BN208" i="12" s="1"/>
  <c r="BC201" i="12" a="1"/>
  <c r="BC201" i="12" s="1"/>
  <c r="BC202" i="12" s="1"/>
  <c r="BC208" i="12" s="1"/>
  <c r="AP201" i="12" a="1"/>
  <c r="AP201" i="12" s="1"/>
  <c r="AP202" i="12" s="1"/>
  <c r="AP208" i="12" s="1"/>
  <c r="I201" i="12" a="1"/>
  <c r="I201" i="12" s="1"/>
  <c r="I202" i="12" s="1"/>
  <c r="I208" i="12" s="1"/>
  <c r="I209" i="12" s="1"/>
  <c r="I212" i="12" s="1"/>
  <c r="BA201" i="12" a="1"/>
  <c r="BA201" i="12" s="1"/>
  <c r="BA202" i="12" s="1"/>
  <c r="BA208" i="12" s="1"/>
  <c r="AT201" i="12" a="1"/>
  <c r="AT201" i="12" s="1"/>
  <c r="AT202" i="12" s="1"/>
  <c r="AT208" i="12" s="1"/>
  <c r="U201" i="12" a="1"/>
  <c r="U201" i="12" s="1"/>
  <c r="U202" i="12" s="1"/>
  <c r="U208" i="12" s="1"/>
  <c r="U209" i="12" s="1"/>
  <c r="U212" i="12" s="1"/>
  <c r="V201" i="12" a="1"/>
  <c r="V201" i="12" s="1"/>
  <c r="V202" i="12" s="1"/>
  <c r="V208" i="12" s="1"/>
  <c r="V209" i="12" s="1"/>
  <c r="V212" i="12" s="1"/>
  <c r="AJ201" i="12" a="1"/>
  <c r="AJ201" i="12" s="1"/>
  <c r="AJ202" i="12" s="1"/>
  <c r="AJ208" i="12" s="1"/>
  <c r="W201" i="12" a="1"/>
  <c r="W201" i="12" s="1"/>
  <c r="W202" i="12" s="1"/>
  <c r="W208" i="12" s="1"/>
  <c r="W209" i="12" s="1"/>
  <c r="W212" i="12" s="1"/>
  <c r="Y201" i="12" a="1"/>
  <c r="Y201" i="12" s="1"/>
  <c r="Y202" i="12" s="1"/>
  <c r="Y208" i="12" s="1"/>
  <c r="Y209" i="12" s="1"/>
  <c r="Y212" i="12" s="1"/>
  <c r="N201" i="12" a="1"/>
  <c r="N201" i="12" s="1"/>
  <c r="N202" i="12" s="1"/>
  <c r="N208" i="12" s="1"/>
  <c r="N209" i="12" s="1"/>
  <c r="N212" i="12" s="1"/>
  <c r="H201" i="12" a="1"/>
  <c r="H201" i="12" s="1"/>
  <c r="L201" i="12" a="1"/>
  <c r="L201" i="12" s="1"/>
  <c r="L202" i="12" s="1"/>
  <c r="L208" i="12" s="1"/>
  <c r="L209" i="12" s="1"/>
  <c r="L212" i="12" s="1"/>
  <c r="AI201" i="12" a="1"/>
  <c r="AI201" i="12" s="1"/>
  <c r="AI202" i="12" s="1"/>
  <c r="AI208" i="12" s="1"/>
  <c r="BM87" i="12"/>
  <c r="BM89" i="12" s="1"/>
  <c r="BM95" i="12" s="1"/>
  <c r="BM20" i="12"/>
  <c r="AV69" i="12"/>
  <c r="AJ71" i="12"/>
  <c r="AJ72" i="12" s="1"/>
  <c r="AJ109" i="12" s="1"/>
  <c r="AJ37" i="26" s="1"/>
  <c r="AJ42" i="26" s="1"/>
  <c r="AJ44" i="26" s="1"/>
  <c r="AI114" i="12"/>
  <c r="AI116" i="12" s="1"/>
  <c r="AI127" i="12" s="1"/>
  <c r="AK68" i="12"/>
  <c r="AK70" i="12" s="1"/>
  <c r="AJ102" i="12"/>
  <c r="AJ112" i="12" s="1"/>
  <c r="AJ40" i="26" s="1"/>
  <c r="BM75" i="12"/>
  <c r="BM58" i="12"/>
  <c r="BN56" i="12"/>
  <c r="AL76" i="9"/>
  <c r="AL45" i="12"/>
  <c r="AL46" i="12" s="1"/>
  <c r="AK176" i="12"/>
  <c r="AK101" i="12"/>
  <c r="AK100" i="12"/>
  <c r="BL21" i="12"/>
  <c r="BL111" i="12"/>
  <c r="BL39" i="26" s="1"/>
  <c r="AM60" i="12"/>
  <c r="AM12" i="12"/>
  <c r="AL24" i="12"/>
  <c r="AL64" i="12"/>
  <c r="AL139" i="12"/>
  <c r="AL141" i="12" s="1"/>
  <c r="AL58" i="26" s="1"/>
  <c r="AL82" i="26" s="1"/>
  <c r="AL151" i="12"/>
  <c r="AL153" i="12" s="1"/>
  <c r="AL64" i="26" s="1"/>
  <c r="AH188" i="12"/>
  <c r="AH190" i="12" s="1"/>
  <c r="AI187" i="12" s="1"/>
  <c r="BM36" i="9"/>
  <c r="BM14" i="26" s="1"/>
  <c r="BL41" i="9"/>
  <c r="BM26" i="9"/>
  <c r="BM29" i="9" s="1"/>
  <c r="BN17" i="9"/>
  <c r="BN34" i="9"/>
  <c r="BN18" i="12" s="1"/>
  <c r="AO16" i="9"/>
  <c r="AN48" i="9"/>
  <c r="AN50" i="9" s="1"/>
  <c r="AN40" i="9"/>
  <c r="AN42" i="9" s="1"/>
  <c r="BN27" i="9"/>
  <c r="BN35" i="9"/>
  <c r="BN19" i="12" s="1"/>
  <c r="BN91" i="12" s="1"/>
  <c r="BN93" i="12" s="1"/>
  <c r="BN54" i="9"/>
  <c r="BN56" i="9" s="1"/>
  <c r="BN58" i="9" s="1"/>
  <c r="AM62" i="9"/>
  <c r="AM64" i="9" s="1"/>
  <c r="AM20" i="26" s="1"/>
  <c r="AM21" i="26" s="1"/>
  <c r="AM68" i="9"/>
  <c r="AM70" i="9" s="1"/>
  <c r="BM63" i="9"/>
  <c r="BM69" i="9"/>
  <c r="Z5" i="9"/>
  <c r="Z4" i="9"/>
  <c r="AA6" i="9"/>
  <c r="AB7" i="9"/>
  <c r="BM15" i="26" l="1"/>
  <c r="AI129" i="12"/>
  <c r="AI131" i="12" s="1"/>
  <c r="AI172" i="12" s="1"/>
  <c r="AI177" i="12" s="1"/>
  <c r="AI47" i="26"/>
  <c r="AI49" i="26" s="1"/>
  <c r="AE103" i="26" a="1"/>
  <c r="AE103" i="26" s="1"/>
  <c r="AE104" i="26" s="1"/>
  <c r="AE110" i="26" s="1"/>
  <c r="AE111" i="26" s="1"/>
  <c r="AE114" i="26" s="1"/>
  <c r="AF103" i="26" a="1"/>
  <c r="AF103" i="26" s="1"/>
  <c r="AF104" i="26" s="1"/>
  <c r="AF110" i="26" s="1"/>
  <c r="AF111" i="26" s="1"/>
  <c r="AF114" i="26" s="1"/>
  <c r="AG103" i="26" a="1"/>
  <c r="AG103" i="26" s="1"/>
  <c r="AG104" i="26" s="1"/>
  <c r="AG110" i="26" s="1"/>
  <c r="AG111" i="26" s="1"/>
  <c r="AG114" i="26" s="1"/>
  <c r="AH103" i="26" a="1"/>
  <c r="AH103" i="26" s="1"/>
  <c r="AH104" i="26" s="1"/>
  <c r="AH110" i="26" s="1"/>
  <c r="AI103" i="26" a="1"/>
  <c r="AI103" i="26" s="1"/>
  <c r="AI104" i="26" s="1"/>
  <c r="AI110" i="26" s="1"/>
  <c r="AJ103" i="26" a="1"/>
  <c r="AJ103" i="26" s="1"/>
  <c r="AJ104" i="26" s="1"/>
  <c r="AJ110" i="26" s="1"/>
  <c r="AK103" i="26" a="1"/>
  <c r="AK103" i="26" s="1"/>
  <c r="AK104" i="26" s="1"/>
  <c r="AK110" i="26" s="1"/>
  <c r="AL103" i="26" a="1"/>
  <c r="AL103" i="26" s="1"/>
  <c r="AL104" i="26" s="1"/>
  <c r="AL110" i="26" s="1"/>
  <c r="AM103" i="26" a="1"/>
  <c r="AM103" i="26" s="1"/>
  <c r="AM104" i="26" s="1"/>
  <c r="AM110" i="26" s="1"/>
  <c r="AN103" i="26" a="1"/>
  <c r="AN103" i="26" s="1"/>
  <c r="AN104" i="26" s="1"/>
  <c r="AN110" i="26" s="1"/>
  <c r="AO103" i="26" a="1"/>
  <c r="AO103" i="26" s="1"/>
  <c r="AO104" i="26" s="1"/>
  <c r="AO110" i="26" s="1"/>
  <c r="AP103" i="26" a="1"/>
  <c r="AP103" i="26" s="1"/>
  <c r="AP104" i="26" s="1"/>
  <c r="AP110" i="26" s="1"/>
  <c r="AQ103" i="26" a="1"/>
  <c r="AQ103" i="26" s="1"/>
  <c r="AQ104" i="26" s="1"/>
  <c r="AQ110" i="26" s="1"/>
  <c r="AR103" i="26" a="1"/>
  <c r="AR103" i="26" s="1"/>
  <c r="AR104" i="26" s="1"/>
  <c r="AR110" i="26" s="1"/>
  <c r="AS103" i="26" a="1"/>
  <c r="AS103" i="26" s="1"/>
  <c r="AS104" i="26" s="1"/>
  <c r="AS110" i="26" s="1"/>
  <c r="AT103" i="26" a="1"/>
  <c r="AT103" i="26" s="1"/>
  <c r="AT104" i="26" s="1"/>
  <c r="AT110" i="26" s="1"/>
  <c r="AU103" i="26" a="1"/>
  <c r="AU103" i="26" s="1"/>
  <c r="AU104" i="26" s="1"/>
  <c r="AU110" i="26" s="1"/>
  <c r="AV103" i="26" a="1"/>
  <c r="AV103" i="26" s="1"/>
  <c r="AV104" i="26" s="1"/>
  <c r="AV110" i="26" s="1"/>
  <c r="AW103" i="26" a="1"/>
  <c r="AW103" i="26" s="1"/>
  <c r="AW104" i="26" s="1"/>
  <c r="AW110" i="26" s="1"/>
  <c r="AX103" i="26" a="1"/>
  <c r="AX103" i="26" s="1"/>
  <c r="AX104" i="26" s="1"/>
  <c r="AX110" i="26" s="1"/>
  <c r="AY103" i="26" a="1"/>
  <c r="AY103" i="26" s="1"/>
  <c r="AY104" i="26" s="1"/>
  <c r="AY110" i="26" s="1"/>
  <c r="AZ103" i="26" a="1"/>
  <c r="AZ103" i="26" s="1"/>
  <c r="AZ104" i="26" s="1"/>
  <c r="AZ110" i="26" s="1"/>
  <c r="BA103" i="26" a="1"/>
  <c r="BA103" i="26" s="1"/>
  <c r="BA104" i="26" s="1"/>
  <c r="BA110" i="26" s="1"/>
  <c r="BB103" i="26" a="1"/>
  <c r="BB103" i="26" s="1"/>
  <c r="BB104" i="26" s="1"/>
  <c r="BB110" i="26" s="1"/>
  <c r="BC103" i="26" a="1"/>
  <c r="BC103" i="26" s="1"/>
  <c r="BC104" i="26" s="1"/>
  <c r="BC110" i="26" s="1"/>
  <c r="BD103" i="26" a="1"/>
  <c r="BD103" i="26" s="1"/>
  <c r="BD104" i="26" s="1"/>
  <c r="BD110" i="26" s="1"/>
  <c r="BE103" i="26" a="1"/>
  <c r="BE103" i="26" s="1"/>
  <c r="BE104" i="26" s="1"/>
  <c r="BE110" i="26" s="1"/>
  <c r="BF103" i="26" a="1"/>
  <c r="BF103" i="26" s="1"/>
  <c r="BF104" i="26" s="1"/>
  <c r="BF110" i="26" s="1"/>
  <c r="BG103" i="26" a="1"/>
  <c r="BG103" i="26" s="1"/>
  <c r="BG104" i="26" s="1"/>
  <c r="BG110" i="26" s="1"/>
  <c r="BH103" i="26" a="1"/>
  <c r="BH103" i="26" s="1"/>
  <c r="BH104" i="26" s="1"/>
  <c r="BH110" i="26" s="1"/>
  <c r="BI103" i="26" a="1"/>
  <c r="BI103" i="26" s="1"/>
  <c r="BI104" i="26" s="1"/>
  <c r="BI110" i="26" s="1"/>
  <c r="BJ103" i="26" a="1"/>
  <c r="BJ103" i="26" s="1"/>
  <c r="BJ104" i="26" s="1"/>
  <c r="BJ110" i="26" s="1"/>
  <c r="BK103" i="26" a="1"/>
  <c r="BK103" i="26" s="1"/>
  <c r="BK104" i="26" s="1"/>
  <c r="BK110" i="26" s="1"/>
  <c r="BL103" i="26" a="1"/>
  <c r="BL103" i="26" s="1"/>
  <c r="BL104" i="26" s="1"/>
  <c r="BL110" i="26" s="1"/>
  <c r="BM103" i="26" a="1"/>
  <c r="BM103" i="26" s="1"/>
  <c r="BM104" i="26" s="1"/>
  <c r="BM110" i="26" s="1"/>
  <c r="BN103" i="26" a="1"/>
  <c r="BN103" i="26" s="1"/>
  <c r="BN104" i="26" s="1"/>
  <c r="BN110" i="26" s="1"/>
  <c r="AH71" i="26"/>
  <c r="AM35" i="12"/>
  <c r="AM29" i="26"/>
  <c r="AM30" i="26" s="1"/>
  <c r="AN11" i="12"/>
  <c r="AN11" i="26"/>
  <c r="AN12" i="26" s="1"/>
  <c r="AH111" i="26"/>
  <c r="AH114" i="26" s="1"/>
  <c r="AI45" i="26"/>
  <c r="AI51" i="26"/>
  <c r="AI81" i="26" s="1"/>
  <c r="AI86" i="26" s="1"/>
  <c r="AI108" i="26" s="1"/>
  <c r="AI111" i="26" s="1"/>
  <c r="AI114" i="26" s="1"/>
  <c r="AJ45" i="26"/>
  <c r="AL29" i="12"/>
  <c r="AL155" i="12" s="1"/>
  <c r="AL23" i="26"/>
  <c r="AL65" i="26" s="1"/>
  <c r="AL18" i="26"/>
  <c r="AL84" i="26"/>
  <c r="AL66" i="26"/>
  <c r="AL174" i="12"/>
  <c r="AL63" i="26"/>
  <c r="AL83" i="26" s="1"/>
  <c r="BF201" i="12" a="1"/>
  <c r="BF201" i="12" s="1"/>
  <c r="BF202" i="12" s="1"/>
  <c r="BF208" i="12" s="1"/>
  <c r="AE201" i="12" a="1"/>
  <c r="AE201" i="12" s="1"/>
  <c r="AE202" i="12" s="1"/>
  <c r="AE208" i="12" s="1"/>
  <c r="AE209" i="12" s="1"/>
  <c r="AE212" i="12" s="1"/>
  <c r="BM201" i="12" a="1"/>
  <c r="BM201" i="12" s="1"/>
  <c r="BM202" i="12" s="1"/>
  <c r="BM208" i="12" s="1"/>
  <c r="BH201" i="12" a="1"/>
  <c r="BH201" i="12" s="1"/>
  <c r="BH202" i="12" s="1"/>
  <c r="BH208" i="12" s="1"/>
  <c r="AS201" i="12" a="1"/>
  <c r="AS201" i="12" s="1"/>
  <c r="AS202" i="12" s="1"/>
  <c r="AS208" i="12" s="1"/>
  <c r="J201" i="12" a="1"/>
  <c r="J201" i="12" s="1"/>
  <c r="J202" i="12" s="1"/>
  <c r="J208" i="12" s="1"/>
  <c r="J209" i="12" s="1"/>
  <c r="J212" i="12" s="1"/>
  <c r="AW201" i="12" a="1"/>
  <c r="AW201" i="12" s="1"/>
  <c r="AW202" i="12" s="1"/>
  <c r="AW208" i="12" s="1"/>
  <c r="AQ201" i="12" a="1"/>
  <c r="AQ201" i="12" s="1"/>
  <c r="AQ202" i="12" s="1"/>
  <c r="AQ208" i="12" s="1"/>
  <c r="AZ201" i="12" a="1"/>
  <c r="AZ201" i="12" s="1"/>
  <c r="AZ202" i="12" s="1"/>
  <c r="AZ208" i="12" s="1"/>
  <c r="AK201" i="12" a="1"/>
  <c r="AK201" i="12" s="1"/>
  <c r="AK202" i="12" s="1"/>
  <c r="AK208" i="12" s="1"/>
  <c r="AF201" i="12" a="1"/>
  <c r="AF201" i="12" s="1"/>
  <c r="AF202" i="12" s="1"/>
  <c r="AF208" i="12" s="1"/>
  <c r="AF209" i="12" s="1"/>
  <c r="AF212" i="12" s="1"/>
  <c r="AU201" i="12" a="1"/>
  <c r="AU201" i="12" s="1"/>
  <c r="AU202" i="12" s="1"/>
  <c r="AU208" i="12" s="1"/>
  <c r="AN201" i="12" a="1"/>
  <c r="AN201" i="12" s="1"/>
  <c r="AN202" i="12" s="1"/>
  <c r="AN208" i="12" s="1"/>
  <c r="BB201" i="12" a="1"/>
  <c r="BB201" i="12" s="1"/>
  <c r="BB202" i="12" s="1"/>
  <c r="BB208" i="12" s="1"/>
  <c r="AX201" i="12" a="1"/>
  <c r="AX201" i="12" s="1"/>
  <c r="AX202" i="12" s="1"/>
  <c r="AX208" i="12" s="1"/>
  <c r="S201" i="12" a="1"/>
  <c r="S201" i="12" s="1"/>
  <c r="S202" i="12" s="1"/>
  <c r="S208" i="12" s="1"/>
  <c r="S209" i="12" s="1"/>
  <c r="S212" i="12" s="1"/>
  <c r="AA201" i="12" a="1"/>
  <c r="AA201" i="12" s="1"/>
  <c r="AA202" i="12" s="1"/>
  <c r="AA208" i="12" s="1"/>
  <c r="AA209" i="12" s="1"/>
  <c r="AA212" i="12" s="1"/>
  <c r="M201" i="12" a="1"/>
  <c r="M201" i="12" s="1"/>
  <c r="M202" i="12" s="1"/>
  <c r="M208" i="12" s="1"/>
  <c r="M209" i="12" s="1"/>
  <c r="M212" i="12" s="1"/>
  <c r="BI201" i="12" a="1"/>
  <c r="BI201" i="12" s="1"/>
  <c r="BI202" i="12" s="1"/>
  <c r="BI208" i="12" s="1"/>
  <c r="BG201" i="12" a="1"/>
  <c r="BG201" i="12" s="1"/>
  <c r="BG202" i="12" s="1"/>
  <c r="BG208" i="12" s="1"/>
  <c r="AB201" i="12" a="1"/>
  <c r="AB201" i="12" s="1"/>
  <c r="AB202" i="12" s="1"/>
  <c r="AB208" i="12" s="1"/>
  <c r="AB209" i="12" s="1"/>
  <c r="AB212" i="12" s="1"/>
  <c r="AH209" i="12"/>
  <c r="AH212" i="12" s="1"/>
  <c r="H161" i="12"/>
  <c r="H202" i="12"/>
  <c r="H208" i="12" s="1"/>
  <c r="H209" i="12" s="1"/>
  <c r="H212" i="12" s="1"/>
  <c r="H213" i="12" s="1"/>
  <c r="AB103" i="26" a="1"/>
  <c r="AB103" i="26" s="1"/>
  <c r="AB104" i="26" s="1"/>
  <c r="AB110" i="26" s="1"/>
  <c r="AB111" i="26" s="1"/>
  <c r="AB114" i="26" s="1"/>
  <c r="V103" i="26" a="1"/>
  <c r="V103" i="26" s="1"/>
  <c r="V104" i="26" s="1"/>
  <c r="V110" i="26" s="1"/>
  <c r="V111" i="26" s="1"/>
  <c r="V114" i="26" s="1"/>
  <c r="K103" i="26" a="1"/>
  <c r="K103" i="26" s="1"/>
  <c r="K104" i="26" s="1"/>
  <c r="K110" i="26" s="1"/>
  <c r="K111" i="26" s="1"/>
  <c r="K114" i="26" s="1"/>
  <c r="S103" i="26" a="1"/>
  <c r="S103" i="26" s="1"/>
  <c r="S104" i="26" s="1"/>
  <c r="S110" i="26" s="1"/>
  <c r="S111" i="26" s="1"/>
  <c r="S114" i="26" s="1"/>
  <c r="AC103" i="26" a="1"/>
  <c r="AC103" i="26" s="1"/>
  <c r="AC104" i="26" s="1"/>
  <c r="AC110" i="26" s="1"/>
  <c r="AC111" i="26" s="1"/>
  <c r="AC114" i="26" s="1"/>
  <c r="G101" i="26"/>
  <c r="AD103" i="26" a="1"/>
  <c r="AD103" i="26" s="1"/>
  <c r="AD104" i="26" s="1"/>
  <c r="AD110" i="26" s="1"/>
  <c r="AD111" i="26" s="1"/>
  <c r="AD114" i="26" s="1"/>
  <c r="AA103" i="26" a="1"/>
  <c r="AA103" i="26" s="1"/>
  <c r="AA104" i="26" s="1"/>
  <c r="AA110" i="26" s="1"/>
  <c r="AA111" i="26" s="1"/>
  <c r="AA114" i="26" s="1"/>
  <c r="J103" i="26" a="1"/>
  <c r="J103" i="26" s="1"/>
  <c r="J104" i="26" s="1"/>
  <c r="J110" i="26" s="1"/>
  <c r="J111" i="26" s="1"/>
  <c r="J114" i="26" s="1"/>
  <c r="P103" i="26" a="1"/>
  <c r="P103" i="26" s="1"/>
  <c r="P104" i="26" s="1"/>
  <c r="P110" i="26" s="1"/>
  <c r="P111" i="26" s="1"/>
  <c r="P114" i="26" s="1"/>
  <c r="N103" i="26" a="1"/>
  <c r="N103" i="26" s="1"/>
  <c r="N104" i="26" s="1"/>
  <c r="N110" i="26" s="1"/>
  <c r="N111" i="26" s="1"/>
  <c r="N114" i="26" s="1"/>
  <c r="M103" i="26" a="1"/>
  <c r="M103" i="26" s="1"/>
  <c r="M104" i="26" s="1"/>
  <c r="M110" i="26" s="1"/>
  <c r="M111" i="26" s="1"/>
  <c r="M114" i="26" s="1"/>
  <c r="Y103" i="26" a="1"/>
  <c r="Y103" i="26" s="1"/>
  <c r="Y104" i="26" s="1"/>
  <c r="Y110" i="26" s="1"/>
  <c r="Y111" i="26" s="1"/>
  <c r="Y114" i="26" s="1"/>
  <c r="H103" i="26" a="1"/>
  <c r="H103" i="26" s="1"/>
  <c r="W103" i="26" a="1"/>
  <c r="W103" i="26" s="1"/>
  <c r="W104" i="26" s="1"/>
  <c r="W110" i="26" s="1"/>
  <c r="W111" i="26" s="1"/>
  <c r="W114" i="26" s="1"/>
  <c r="O103" i="26" a="1"/>
  <c r="O103" i="26" s="1"/>
  <c r="O104" i="26" s="1"/>
  <c r="O110" i="26" s="1"/>
  <c r="O111" i="26" s="1"/>
  <c r="O114" i="26" s="1"/>
  <c r="R103" i="26" a="1"/>
  <c r="R103" i="26" s="1"/>
  <c r="R104" i="26" s="1"/>
  <c r="R110" i="26" s="1"/>
  <c r="R111" i="26" s="1"/>
  <c r="R114" i="26" s="1"/>
  <c r="I103" i="26" a="1"/>
  <c r="I103" i="26" s="1"/>
  <c r="I104" i="26" s="1"/>
  <c r="I110" i="26" s="1"/>
  <c r="I111" i="26" s="1"/>
  <c r="I114" i="26" s="1"/>
  <c r="U103" i="26" a="1"/>
  <c r="U103" i="26" s="1"/>
  <c r="U104" i="26" s="1"/>
  <c r="U110" i="26" s="1"/>
  <c r="U111" i="26" s="1"/>
  <c r="U114" i="26" s="1"/>
  <c r="L103" i="26" a="1"/>
  <c r="L103" i="26" s="1"/>
  <c r="L104" i="26" s="1"/>
  <c r="L110" i="26" s="1"/>
  <c r="L111" i="26" s="1"/>
  <c r="L114" i="26" s="1"/>
  <c r="T103" i="26" a="1"/>
  <c r="T103" i="26" s="1"/>
  <c r="T104" i="26" s="1"/>
  <c r="T110" i="26" s="1"/>
  <c r="T111" i="26" s="1"/>
  <c r="T114" i="26" s="1"/>
  <c r="BN87" i="12"/>
  <c r="BN89" i="12" s="1"/>
  <c r="BN95" i="12" s="1"/>
  <c r="BN20" i="12"/>
  <c r="AJ114" i="12"/>
  <c r="AJ116" i="12" s="1"/>
  <c r="AJ127" i="12" s="1"/>
  <c r="AM40" i="12"/>
  <c r="AM43" i="12" s="1"/>
  <c r="AM32" i="26" s="1"/>
  <c r="AM34" i="26" s="1"/>
  <c r="AM82" i="12"/>
  <c r="AM110" i="12" s="1"/>
  <c r="AM38" i="26" s="1"/>
  <c r="X103" i="26" a="1"/>
  <c r="X103" i="26" s="1"/>
  <c r="X104" i="26" s="1"/>
  <c r="X110" i="26" s="1"/>
  <c r="X111" i="26" s="1"/>
  <c r="X114" i="26" s="1"/>
  <c r="Z103" i="26" a="1"/>
  <c r="Z103" i="26" s="1"/>
  <c r="Z104" i="26" s="1"/>
  <c r="Z110" i="26" s="1"/>
  <c r="Z111" i="26" s="1"/>
  <c r="Z114" i="26" s="1"/>
  <c r="Z201" i="12" a="1"/>
  <c r="Z201" i="12" s="1"/>
  <c r="Z202" i="12" s="1"/>
  <c r="Z208" i="12" s="1"/>
  <c r="Z209" i="12" s="1"/>
  <c r="Z212" i="12" s="1"/>
  <c r="AI117" i="12"/>
  <c r="AW69" i="12"/>
  <c r="AK71" i="12"/>
  <c r="AK72" i="12" s="1"/>
  <c r="AK109" i="12" s="1"/>
  <c r="AK37" i="26" s="1"/>
  <c r="AI124" i="12"/>
  <c r="AI125" i="12" s="1"/>
  <c r="AJ123" i="12" s="1"/>
  <c r="AL77" i="9"/>
  <c r="AJ124" i="12"/>
  <c r="BN75" i="12"/>
  <c r="BN58" i="12"/>
  <c r="AK102" i="12"/>
  <c r="AK112" i="12" s="1"/>
  <c r="AK40" i="26" s="1"/>
  <c r="AL176" i="12"/>
  <c r="AL173" i="12"/>
  <c r="AI162" i="12"/>
  <c r="AL77" i="12"/>
  <c r="AL78" i="12" s="1"/>
  <c r="AL99" i="12" s="1"/>
  <c r="AL66" i="12"/>
  <c r="AM76" i="12"/>
  <c r="AM62" i="12"/>
  <c r="AM75" i="9"/>
  <c r="AM26" i="12"/>
  <c r="AN12" i="12"/>
  <c r="AN60" i="12"/>
  <c r="AI188" i="12"/>
  <c r="AI190" i="12" s="1"/>
  <c r="AJ187" i="12" s="1"/>
  <c r="AI206" i="12"/>
  <c r="AI209" i="12" s="1"/>
  <c r="AI212" i="12" s="1"/>
  <c r="AM106" i="12"/>
  <c r="AM113" i="12" s="1"/>
  <c r="AM41" i="26" s="1"/>
  <c r="AM36" i="12"/>
  <c r="BM21" i="12"/>
  <c r="BM111" i="12"/>
  <c r="BM39" i="26" s="1"/>
  <c r="AL175" i="12"/>
  <c r="AL157" i="12"/>
  <c r="BN36" i="9"/>
  <c r="BN14" i="26" s="1"/>
  <c r="BN15" i="26" s="1"/>
  <c r="AM74" i="9"/>
  <c r="AM72" i="9"/>
  <c r="BN63" i="9"/>
  <c r="BN69" i="9"/>
  <c r="AN68" i="9"/>
  <c r="AN70" i="9" s="1"/>
  <c r="AN62" i="9"/>
  <c r="AN64" i="9" s="1"/>
  <c r="AN20" i="26" s="1"/>
  <c r="AN21" i="26" s="1"/>
  <c r="BM41" i="9"/>
  <c r="BN26" i="9"/>
  <c r="BN29" i="9" s="1"/>
  <c r="AO18" i="9"/>
  <c r="AO19" i="9" s="1"/>
  <c r="AA5" i="9"/>
  <c r="AA4" i="9"/>
  <c r="AB6" i="9"/>
  <c r="AC7" i="9"/>
  <c r="AM23" i="12" l="1"/>
  <c r="AM147" i="12" s="1"/>
  <c r="AM149" i="12" s="1"/>
  <c r="AM17" i="26"/>
  <c r="AM18" i="26" s="1"/>
  <c r="AK42" i="26"/>
  <c r="AK44" i="26" s="1"/>
  <c r="AJ129" i="12"/>
  <c r="AJ131" i="12" s="1"/>
  <c r="AJ172" i="12" s="1"/>
  <c r="AJ177" i="12" s="1"/>
  <c r="AJ206" i="12" s="1"/>
  <c r="AJ209" i="12" s="1"/>
  <c r="AJ212" i="12" s="1"/>
  <c r="AJ47" i="26"/>
  <c r="AJ49" i="26" s="1"/>
  <c r="AJ51" i="26" s="1"/>
  <c r="AJ81" i="26" s="1"/>
  <c r="AJ86" i="26" s="1"/>
  <c r="AJ108" i="26" s="1"/>
  <c r="AJ111" i="26" s="1"/>
  <c r="AJ114" i="26" s="1"/>
  <c r="AN35" i="12"/>
  <c r="AN29" i="26"/>
  <c r="AN30" i="26" s="1"/>
  <c r="AI71" i="26"/>
  <c r="AJ71" i="26" s="1"/>
  <c r="AM35" i="26"/>
  <c r="AL85" i="26"/>
  <c r="H104" i="26"/>
  <c r="H110" i="26" s="1"/>
  <c r="H111" i="26" s="1"/>
  <c r="H114" i="26" s="1"/>
  <c r="H115" i="26" s="1"/>
  <c r="I113" i="26" s="1"/>
  <c r="I115" i="26" s="1"/>
  <c r="J113" i="26" s="1"/>
  <c r="J115" i="26" s="1"/>
  <c r="K113" i="26" s="1"/>
  <c r="K115" i="26" s="1"/>
  <c r="L113" i="26" s="1"/>
  <c r="L115" i="26" s="1"/>
  <c r="M113" i="26" s="1"/>
  <c r="M115" i="26" s="1"/>
  <c r="N113" i="26" s="1"/>
  <c r="N115" i="26" s="1"/>
  <c r="H70" i="26"/>
  <c r="H137" i="12"/>
  <c r="I211" i="12"/>
  <c r="I213" i="12" s="1"/>
  <c r="I161" i="12"/>
  <c r="H164" i="12"/>
  <c r="AJ188" i="12"/>
  <c r="AJ190" i="12" s="1"/>
  <c r="AK187" i="12" s="1"/>
  <c r="AJ162" i="12"/>
  <c r="AJ117" i="12"/>
  <c r="AN40" i="12"/>
  <c r="AN43" i="12" s="1"/>
  <c r="AN32" i="26" s="1"/>
  <c r="AN34" i="26" s="1"/>
  <c r="AN82" i="12"/>
  <c r="AN110" i="12" s="1"/>
  <c r="AN38" i="26" s="1"/>
  <c r="AK114" i="12"/>
  <c r="AK116" i="12" s="1"/>
  <c r="AK127" i="12" s="1"/>
  <c r="AJ125" i="12"/>
  <c r="AK123" i="12" s="1"/>
  <c r="AL68" i="12"/>
  <c r="AL70" i="12" s="1"/>
  <c r="AM76" i="9"/>
  <c r="AN106" i="12"/>
  <c r="AN113" i="12" s="1"/>
  <c r="AN41" i="26" s="1"/>
  <c r="AM45" i="12"/>
  <c r="AM46" i="12" s="1"/>
  <c r="AN75" i="9"/>
  <c r="AN26" i="12"/>
  <c r="AN27" i="12" s="1"/>
  <c r="AM64" i="12"/>
  <c r="AM139" i="12"/>
  <c r="AM141" i="12" s="1"/>
  <c r="AM58" i="26" s="1"/>
  <c r="AM82" i="26" s="1"/>
  <c r="AM151" i="12"/>
  <c r="AM153" i="12" s="1"/>
  <c r="AM64" i="26" s="1"/>
  <c r="AM24" i="12"/>
  <c r="BN21" i="12"/>
  <c r="BN111" i="12"/>
  <c r="BN39" i="26" s="1"/>
  <c r="AN76" i="12"/>
  <c r="AN62" i="12"/>
  <c r="AM27" i="12"/>
  <c r="AN36" i="12"/>
  <c r="AL100" i="12"/>
  <c r="AL101" i="12"/>
  <c r="BN41" i="9"/>
  <c r="AO48" i="9"/>
  <c r="AO50" i="9" s="1"/>
  <c r="AP16" i="9"/>
  <c r="AP18" i="9" s="1"/>
  <c r="AP19" i="9" s="1"/>
  <c r="AO40" i="9"/>
  <c r="AO42" i="9" s="1"/>
  <c r="AN72" i="9"/>
  <c r="AN74" i="9"/>
  <c r="AB4" i="9"/>
  <c r="AB5" i="9"/>
  <c r="AD7" i="9"/>
  <c r="AC6" i="9"/>
  <c r="AK129" i="12" l="1"/>
  <c r="AK131" i="12" s="1"/>
  <c r="AK172" i="12" s="1"/>
  <c r="AK177" i="12" s="1"/>
  <c r="AK206" i="12" s="1"/>
  <c r="AK209" i="12" s="1"/>
  <c r="AK212" i="12" s="1"/>
  <c r="AK47" i="26"/>
  <c r="AK49" i="26" s="1"/>
  <c r="AK45" i="26"/>
  <c r="AK51" i="26"/>
  <c r="AK81" i="26" s="1"/>
  <c r="AK86" i="26" s="1"/>
  <c r="AK108" i="26" s="1"/>
  <c r="AK111" i="26" s="1"/>
  <c r="AK114" i="26" s="1"/>
  <c r="AN23" i="12"/>
  <c r="AN17" i="26"/>
  <c r="AN18" i="26" s="1"/>
  <c r="AM77" i="9"/>
  <c r="AM23" i="26"/>
  <c r="AM65" i="26" s="1"/>
  <c r="AO11" i="12"/>
  <c r="AO60" i="12" s="1"/>
  <c r="AO11" i="26"/>
  <c r="AM84" i="26"/>
  <c r="AN35" i="26"/>
  <c r="AM174" i="12"/>
  <c r="AM63" i="26"/>
  <c r="AM83" i="26" s="1"/>
  <c r="AN24" i="12"/>
  <c r="AN147" i="12"/>
  <c r="AN149" i="12" s="1"/>
  <c r="J211" i="12"/>
  <c r="J213" i="12" s="1"/>
  <c r="I137" i="12"/>
  <c r="H143" i="12"/>
  <c r="H166" i="12" s="1"/>
  <c r="H57" i="26"/>
  <c r="H59" i="26" s="1"/>
  <c r="H73" i="26"/>
  <c r="I70" i="26"/>
  <c r="I164" i="12"/>
  <c r="J161" i="12"/>
  <c r="AK188" i="12"/>
  <c r="AK190" i="12" s="1"/>
  <c r="AL187" i="12" s="1"/>
  <c r="AK162" i="12"/>
  <c r="AK117" i="12"/>
  <c r="AK124" i="12"/>
  <c r="AK125" i="12" s="1"/>
  <c r="AL123" i="12" s="1"/>
  <c r="AX69" i="12"/>
  <c r="AL71" i="12"/>
  <c r="AL72" i="12" s="1"/>
  <c r="AL109" i="12" s="1"/>
  <c r="AL37" i="26" s="1"/>
  <c r="AM29" i="12"/>
  <c r="AM155" i="12" s="1"/>
  <c r="AM157" i="12" s="1"/>
  <c r="AN76" i="9"/>
  <c r="AN45" i="12"/>
  <c r="AN46" i="12" s="1"/>
  <c r="AM77" i="12"/>
  <c r="AM78" i="12" s="1"/>
  <c r="AM99" i="12" s="1"/>
  <c r="AM66" i="12"/>
  <c r="AO12" i="12"/>
  <c r="AL102" i="12"/>
  <c r="AL112" i="12" s="1"/>
  <c r="AL40" i="26" s="1"/>
  <c r="AN139" i="12"/>
  <c r="AN141" i="12" s="1"/>
  <c r="AN64" i="12"/>
  <c r="AN151" i="12"/>
  <c r="AN153" i="12" s="1"/>
  <c r="AN64" i="26" s="1"/>
  <c r="AM175" i="12"/>
  <c r="AM173" i="12"/>
  <c r="AD6" i="9"/>
  <c r="AE7" i="9"/>
  <c r="AP48" i="9"/>
  <c r="AP50" i="9" s="1"/>
  <c r="AP40" i="9"/>
  <c r="AP42" i="9" s="1"/>
  <c r="AQ16" i="9"/>
  <c r="AO68" i="9"/>
  <c r="AO70" i="9" s="1"/>
  <c r="AO62" i="9"/>
  <c r="AO64" i="9" s="1"/>
  <c r="AO20" i="26" s="1"/>
  <c r="O113" i="26"/>
  <c r="O115" i="26" s="1"/>
  <c r="AC5" i="9"/>
  <c r="AC4" i="9"/>
  <c r="AD4" i="9"/>
  <c r="AD5" i="9" l="1"/>
  <c r="AP11" i="12"/>
  <c r="AP11" i="26"/>
  <c r="AN84" i="26"/>
  <c r="AO21" i="26"/>
  <c r="AN174" i="12"/>
  <c r="AN63" i="26"/>
  <c r="AN83" i="26" s="1"/>
  <c r="AP12" i="26"/>
  <c r="AO12" i="26"/>
  <c r="AK71" i="26"/>
  <c r="AN77" i="9"/>
  <c r="AN23" i="26"/>
  <c r="AN65" i="26"/>
  <c r="AM85" i="26"/>
  <c r="AO35" i="12"/>
  <c r="AO106" i="12" s="1"/>
  <c r="AO113" i="12" s="1"/>
  <c r="AO41" i="26" s="1"/>
  <c r="AO29" i="26"/>
  <c r="AN173" i="12"/>
  <c r="AN58" i="26"/>
  <c r="AL42" i="26"/>
  <c r="AL44" i="26" s="1"/>
  <c r="AM66" i="26"/>
  <c r="H75" i="26"/>
  <c r="J164" i="12"/>
  <c r="K161" i="12"/>
  <c r="I73" i="26"/>
  <c r="J70" i="26"/>
  <c r="I143" i="12"/>
  <c r="I166" i="12" s="1"/>
  <c r="I57" i="26"/>
  <c r="I59" i="26" s="1"/>
  <c r="J137" i="12"/>
  <c r="K211" i="12"/>
  <c r="K213" i="12" s="1"/>
  <c r="AO40" i="12"/>
  <c r="AO43" i="12" s="1"/>
  <c r="AO32" i="26" s="1"/>
  <c r="AO34" i="26" s="1"/>
  <c r="AN29" i="12"/>
  <c r="AN155" i="12" s="1"/>
  <c r="AL114" i="12"/>
  <c r="AL116" i="12" s="1"/>
  <c r="AL127" i="12" s="1"/>
  <c r="AM68" i="12"/>
  <c r="AM70" i="12" s="1"/>
  <c r="AM176" i="12"/>
  <c r="AM101" i="12"/>
  <c r="AM100" i="12"/>
  <c r="AP12" i="12"/>
  <c r="AP60" i="12"/>
  <c r="AN175" i="12"/>
  <c r="AO76" i="12"/>
  <c r="AO62" i="12"/>
  <c r="AO75" i="9"/>
  <c r="AO26" i="12"/>
  <c r="AO27" i="12" s="1"/>
  <c r="AN77" i="12"/>
  <c r="AN78" i="12" s="1"/>
  <c r="AN99" i="12" s="1"/>
  <c r="AN66" i="12"/>
  <c r="AP68" i="9"/>
  <c r="AP62" i="9"/>
  <c r="AP64" i="9" s="1"/>
  <c r="AP20" i="26" s="1"/>
  <c r="AP21" i="26" s="1"/>
  <c r="AO74" i="9"/>
  <c r="AO72" i="9"/>
  <c r="AF7" i="9"/>
  <c r="AE6" i="9"/>
  <c r="AQ18" i="9"/>
  <c r="AQ19" i="9" s="1"/>
  <c r="P113" i="26"/>
  <c r="P115" i="26" s="1"/>
  <c r="AO35" i="26" l="1"/>
  <c r="AO36" i="12"/>
  <c r="AO82" i="12"/>
  <c r="AO110" i="12" s="1"/>
  <c r="AO38" i="26" s="1"/>
  <c r="AL45" i="26"/>
  <c r="AO30" i="26"/>
  <c r="AL129" i="12"/>
  <c r="AL131" i="12" s="1"/>
  <c r="AL47" i="26"/>
  <c r="AL49" i="26" s="1"/>
  <c r="AL51" i="26" s="1"/>
  <c r="AN82" i="26"/>
  <c r="AN66" i="26"/>
  <c r="AO23" i="12"/>
  <c r="AO147" i="12" s="1"/>
  <c r="AO149" i="12" s="1"/>
  <c r="AO17" i="26"/>
  <c r="AO18" i="26" s="1"/>
  <c r="AN85" i="26"/>
  <c r="I75" i="26"/>
  <c r="L211" i="12"/>
  <c r="L213" i="12" s="1"/>
  <c r="K137" i="12"/>
  <c r="K70" i="26"/>
  <c r="J73" i="26"/>
  <c r="J143" i="12"/>
  <c r="J166" i="12" s="1"/>
  <c r="J57" i="26"/>
  <c r="J59" i="26" s="1"/>
  <c r="L161" i="12"/>
  <c r="K164" i="12"/>
  <c r="AL117" i="12"/>
  <c r="AN157" i="12"/>
  <c r="AN176" i="12"/>
  <c r="AL124" i="12"/>
  <c r="AL125" i="12" s="1"/>
  <c r="AM123" i="12" s="1"/>
  <c r="AY69" i="12"/>
  <c r="AM71" i="12"/>
  <c r="AM72" i="12" s="1"/>
  <c r="AM109" i="12" s="1"/>
  <c r="AM37" i="26" s="1"/>
  <c r="AM42" i="26" s="1"/>
  <c r="AM44" i="26" s="1"/>
  <c r="AN68" i="12"/>
  <c r="AN70" i="12" s="1"/>
  <c r="AO76" i="9"/>
  <c r="AO45" i="12"/>
  <c r="AO46" i="12" s="1"/>
  <c r="AP75" i="9"/>
  <c r="AP26" i="12"/>
  <c r="AP27" i="12" s="1"/>
  <c r="AN100" i="12"/>
  <c r="AN101" i="12"/>
  <c r="AL172" i="12"/>
  <c r="AL177" i="12" s="1"/>
  <c r="AL162" i="12"/>
  <c r="AO64" i="12"/>
  <c r="AO24" i="12"/>
  <c r="AO151" i="12"/>
  <c r="AO153" i="12" s="1"/>
  <c r="AO64" i="26" s="1"/>
  <c r="AO139" i="12"/>
  <c r="AO141" i="12" s="1"/>
  <c r="AO58" i="26" s="1"/>
  <c r="AM102" i="12"/>
  <c r="AM112" i="12" s="1"/>
  <c r="AM40" i="26" s="1"/>
  <c r="AP76" i="12"/>
  <c r="AP62" i="12"/>
  <c r="AP70" i="9"/>
  <c r="AP29" i="26" s="1"/>
  <c r="AP30" i="26" s="1"/>
  <c r="AQ40" i="9"/>
  <c r="AQ42" i="9" s="1"/>
  <c r="AR16" i="9"/>
  <c r="AQ48" i="9"/>
  <c r="AQ50" i="9" s="1"/>
  <c r="AE5" i="9"/>
  <c r="AE4" i="9"/>
  <c r="AG7" i="9"/>
  <c r="AF6" i="9"/>
  <c r="Q113" i="26"/>
  <c r="AL81" i="26" l="1"/>
  <c r="AL86" i="26" s="1"/>
  <c r="AL108" i="26" s="1"/>
  <c r="AL111" i="26" s="1"/>
  <c r="AL114" i="26" s="1"/>
  <c r="AL71" i="26"/>
  <c r="AO84" i="26"/>
  <c r="AM45" i="26"/>
  <c r="AQ11" i="12"/>
  <c r="AQ11" i="26"/>
  <c r="AQ12" i="26" s="1"/>
  <c r="AO77" i="9"/>
  <c r="AO23" i="26"/>
  <c r="AO65" i="26" s="1"/>
  <c r="AO174" i="12"/>
  <c r="AO63" i="26"/>
  <c r="AO83" i="26" s="1"/>
  <c r="AO82" i="26"/>
  <c r="J75" i="26"/>
  <c r="M161" i="12"/>
  <c r="L164" i="12"/>
  <c r="K73" i="26"/>
  <c r="L70" i="26"/>
  <c r="K57" i="26"/>
  <c r="K59" i="26" s="1"/>
  <c r="K143" i="12"/>
  <c r="K166" i="12" s="1"/>
  <c r="M211" i="12"/>
  <c r="M213" i="12" s="1"/>
  <c r="L137" i="12"/>
  <c r="AZ69" i="12"/>
  <c r="AN71" i="12"/>
  <c r="AN72" i="12" s="1"/>
  <c r="AN109" i="12" s="1"/>
  <c r="AN37" i="26" s="1"/>
  <c r="AM114" i="12"/>
  <c r="AM116" i="12" s="1"/>
  <c r="AM124" i="12" s="1"/>
  <c r="AM125" i="12" s="1"/>
  <c r="AN123" i="12" s="1"/>
  <c r="AO29" i="12"/>
  <c r="AO155" i="12" s="1"/>
  <c r="AO176" i="12" s="1"/>
  <c r="AN102" i="12"/>
  <c r="AN112" i="12" s="1"/>
  <c r="AN40" i="26" s="1"/>
  <c r="AP74" i="9"/>
  <c r="AP76" i="9" s="1"/>
  <c r="AP23" i="26" s="1"/>
  <c r="AP35" i="12"/>
  <c r="AO173" i="12"/>
  <c r="AO175" i="12"/>
  <c r="AL188" i="12"/>
  <c r="AL190" i="12" s="1"/>
  <c r="AM187" i="12" s="1"/>
  <c r="AL206" i="12"/>
  <c r="AL209" i="12" s="1"/>
  <c r="AL212" i="12" s="1"/>
  <c r="AQ60" i="12"/>
  <c r="AQ12" i="12"/>
  <c r="AO77" i="12"/>
  <c r="AO78" i="12" s="1"/>
  <c r="AO99" i="12" s="1"/>
  <c r="AO66" i="12"/>
  <c r="AP72" i="9"/>
  <c r="AF5" i="9"/>
  <c r="AF4" i="9"/>
  <c r="AQ62" i="9"/>
  <c r="AQ64" i="9" s="1"/>
  <c r="AQ20" i="26" s="1"/>
  <c r="AQ21" i="26" s="1"/>
  <c r="AQ68" i="9"/>
  <c r="AQ70" i="9" s="1"/>
  <c r="AG6" i="9"/>
  <c r="AH7" i="9"/>
  <c r="AR18" i="9"/>
  <c r="AR19" i="9" s="1"/>
  <c r="AN42" i="26" l="1"/>
  <c r="AN44" i="26" s="1"/>
  <c r="AP23" i="12"/>
  <c r="AP147" i="12" s="1"/>
  <c r="AP149" i="12" s="1"/>
  <c r="AP17" i="26"/>
  <c r="AP65" i="26"/>
  <c r="AO85" i="26"/>
  <c r="AO66" i="26"/>
  <c r="AQ35" i="12"/>
  <c r="AQ29" i="26"/>
  <c r="AQ30" i="26" s="1"/>
  <c r="K75" i="26"/>
  <c r="L143" i="12"/>
  <c r="L166" i="12" s="1"/>
  <c r="L57" i="26"/>
  <c r="L59" i="26" s="1"/>
  <c r="M70" i="26"/>
  <c r="L73" i="26"/>
  <c r="M137" i="12"/>
  <c r="N211" i="12"/>
  <c r="N213" i="12" s="1"/>
  <c r="N161" i="12"/>
  <c r="M164" i="12"/>
  <c r="AO157" i="12"/>
  <c r="AN114" i="12"/>
  <c r="AN116" i="12" s="1"/>
  <c r="AN117" i="12" s="1"/>
  <c r="AQ40" i="12"/>
  <c r="AQ43" i="12" s="1"/>
  <c r="AQ32" i="26" s="1"/>
  <c r="AQ34" i="26" s="1"/>
  <c r="AQ82" i="12"/>
  <c r="AQ110" i="12" s="1"/>
  <c r="AQ38" i="26" s="1"/>
  <c r="AP40" i="12"/>
  <c r="AP43" i="12" s="1"/>
  <c r="AP32" i="26" s="1"/>
  <c r="AP34" i="26" s="1"/>
  <c r="AP82" i="12"/>
  <c r="AP110" i="12" s="1"/>
  <c r="AP38" i="26" s="1"/>
  <c r="AM127" i="12"/>
  <c r="AM117" i="12"/>
  <c r="AO68" i="12"/>
  <c r="AO70" i="12" s="1"/>
  <c r="AN124" i="12"/>
  <c r="AN125" i="12" s="1"/>
  <c r="AO123" i="12" s="1"/>
  <c r="AO101" i="12"/>
  <c r="AO100" i="12"/>
  <c r="AQ36" i="12"/>
  <c r="AP36" i="12"/>
  <c r="AP106" i="12"/>
  <c r="AP113" i="12" s="1"/>
  <c r="AP41" i="26" s="1"/>
  <c r="AQ76" i="12"/>
  <c r="AQ62" i="12"/>
  <c r="AQ106" i="12"/>
  <c r="AQ113" i="12" s="1"/>
  <c r="AQ41" i="26" s="1"/>
  <c r="AQ75" i="9"/>
  <c r="AQ26" i="12"/>
  <c r="AP139" i="12"/>
  <c r="AP141" i="12" s="1"/>
  <c r="AP58" i="26" s="1"/>
  <c r="AP77" i="9"/>
  <c r="AP29" i="12"/>
  <c r="AP155" i="12" s="1"/>
  <c r="AS16" i="9"/>
  <c r="AR48" i="9"/>
  <c r="AR50" i="9" s="1"/>
  <c r="AR40" i="9"/>
  <c r="AR42" i="9" s="1"/>
  <c r="AQ72" i="9"/>
  <c r="AQ74" i="9"/>
  <c r="AH6" i="9"/>
  <c r="AI7" i="9"/>
  <c r="AG5" i="9"/>
  <c r="AG4" i="9"/>
  <c r="AP174" i="12" l="1"/>
  <c r="AP63" i="26"/>
  <c r="AP83" i="26" s="1"/>
  <c r="AP24" i="12"/>
  <c r="AP35" i="26"/>
  <c r="AP85" i="26"/>
  <c r="AN45" i="26"/>
  <c r="AR11" i="12"/>
  <c r="AR12" i="12" s="1"/>
  <c r="AR11" i="26"/>
  <c r="AR12" i="26" s="1"/>
  <c r="AP82" i="26"/>
  <c r="AM129" i="12"/>
  <c r="AM131" i="12" s="1"/>
  <c r="AM172" i="12" s="1"/>
  <c r="AM177" i="12" s="1"/>
  <c r="AM188" i="12" s="1"/>
  <c r="AM190" i="12" s="1"/>
  <c r="AN187" i="12" s="1"/>
  <c r="AM47" i="26"/>
  <c r="AM49" i="26" s="1"/>
  <c r="AM51" i="26" s="1"/>
  <c r="AQ35" i="26"/>
  <c r="AP64" i="12"/>
  <c r="AQ23" i="12"/>
  <c r="AQ147" i="12" s="1"/>
  <c r="AQ149" i="12" s="1"/>
  <c r="AQ17" i="26"/>
  <c r="AQ18" i="26" s="1"/>
  <c r="AP151" i="12"/>
  <c r="AP153" i="12" s="1"/>
  <c r="AP64" i="26" s="1"/>
  <c r="AP18" i="26"/>
  <c r="O161" i="12"/>
  <c r="N164" i="12"/>
  <c r="N70" i="26"/>
  <c r="M73" i="26"/>
  <c r="O211" i="12"/>
  <c r="O213" i="12" s="1"/>
  <c r="N137" i="12"/>
  <c r="L75" i="26"/>
  <c r="M57" i="26"/>
  <c r="M59" i="26" s="1"/>
  <c r="M75" i="26" s="1"/>
  <c r="M143" i="12"/>
  <c r="M166" i="12" s="1"/>
  <c r="AN127" i="12"/>
  <c r="AM162" i="12"/>
  <c r="BA69" i="12"/>
  <c r="AO71" i="12"/>
  <c r="AO72" i="12" s="1"/>
  <c r="AO109" i="12" s="1"/>
  <c r="AO37" i="26" s="1"/>
  <c r="AO42" i="26" s="1"/>
  <c r="AO44" i="26" s="1"/>
  <c r="AO102" i="12"/>
  <c r="AO112" i="12" s="1"/>
  <c r="AO40" i="26" s="1"/>
  <c r="AP45" i="12"/>
  <c r="AP46" i="12" s="1"/>
  <c r="AQ45" i="12"/>
  <c r="AQ46" i="12" s="1"/>
  <c r="AQ139" i="12"/>
  <c r="AQ141" i="12" s="1"/>
  <c r="AQ151" i="12"/>
  <c r="AQ153" i="12" s="1"/>
  <c r="AQ64" i="26" s="1"/>
  <c r="AQ64" i="12"/>
  <c r="AP157" i="12"/>
  <c r="AQ24" i="12"/>
  <c r="AR60" i="12"/>
  <c r="AP173" i="12"/>
  <c r="AQ27" i="12"/>
  <c r="AP176" i="12"/>
  <c r="AP77" i="12"/>
  <c r="AP78" i="12" s="1"/>
  <c r="AP99" i="12" s="1"/>
  <c r="AP66" i="12"/>
  <c r="AQ76" i="9"/>
  <c r="AQ23" i="26" s="1"/>
  <c r="AQ65" i="26" s="1"/>
  <c r="AJ7" i="9"/>
  <c r="AI6" i="9"/>
  <c r="AH5" i="9"/>
  <c r="AH4" i="9"/>
  <c r="AR62" i="9"/>
  <c r="AR64" i="9" s="1"/>
  <c r="AR20" i="26" s="1"/>
  <c r="AR21" i="26" s="1"/>
  <c r="AR68" i="9"/>
  <c r="AR70" i="9" s="1"/>
  <c r="AS18" i="9"/>
  <c r="AS19" i="9" s="1"/>
  <c r="AQ85" i="26" l="1"/>
  <c r="AQ173" i="12"/>
  <c r="AQ58" i="26"/>
  <c r="AQ82" i="26" s="1"/>
  <c r="AP175" i="12"/>
  <c r="AM206" i="12"/>
  <c r="AM209" i="12" s="1"/>
  <c r="AM212" i="12" s="1"/>
  <c r="AQ174" i="12"/>
  <c r="AQ63" i="26"/>
  <c r="AQ83" i="26" s="1"/>
  <c r="AM81" i="26"/>
  <c r="AM86" i="26" s="1"/>
  <c r="AM108" i="26" s="1"/>
  <c r="AM111" i="26" s="1"/>
  <c r="AM114" i="26" s="1"/>
  <c r="AM71" i="26"/>
  <c r="AN71" i="26" s="1"/>
  <c r="AO45" i="26"/>
  <c r="AN129" i="12"/>
  <c r="AN131" i="12" s="1"/>
  <c r="AN172" i="12" s="1"/>
  <c r="AN177" i="12" s="1"/>
  <c r="AN206" i="12" s="1"/>
  <c r="AN209" i="12" s="1"/>
  <c r="AN212" i="12" s="1"/>
  <c r="AN47" i="26"/>
  <c r="AN49" i="26" s="1"/>
  <c r="AN51" i="26" s="1"/>
  <c r="AN81" i="26" s="1"/>
  <c r="AN86" i="26" s="1"/>
  <c r="AN108" i="26" s="1"/>
  <c r="AN111" i="26" s="1"/>
  <c r="AN114" i="26" s="1"/>
  <c r="AP84" i="26"/>
  <c r="AP66" i="26"/>
  <c r="AR35" i="12"/>
  <c r="AR40" i="12" s="1"/>
  <c r="AR43" i="12" s="1"/>
  <c r="AR32" i="26" s="1"/>
  <c r="AR34" i="26" s="1"/>
  <c r="AR29" i="26"/>
  <c r="AR30" i="26" s="1"/>
  <c r="AQ84" i="26"/>
  <c r="AQ66" i="26"/>
  <c r="O70" i="26"/>
  <c r="N73" i="26"/>
  <c r="N57" i="26"/>
  <c r="N59" i="26" s="1"/>
  <c r="N143" i="12"/>
  <c r="N166" i="12" s="1"/>
  <c r="O137" i="12"/>
  <c r="P211" i="12"/>
  <c r="P213" i="12" s="1"/>
  <c r="O164" i="12"/>
  <c r="P161" i="12"/>
  <c r="AN188" i="12"/>
  <c r="AN190" i="12" s="1"/>
  <c r="AO187" i="12" s="1"/>
  <c r="AO114" i="12"/>
  <c r="AO116" i="12" s="1"/>
  <c r="AO124" i="12" s="1"/>
  <c r="AO125" i="12" s="1"/>
  <c r="AP123" i="12" s="1"/>
  <c r="AP68" i="12"/>
  <c r="AP70" i="12" s="1"/>
  <c r="AQ175" i="12"/>
  <c r="AP100" i="12"/>
  <c r="AP101" i="12"/>
  <c r="AQ77" i="12"/>
  <c r="AQ78" i="12" s="1"/>
  <c r="AQ99" i="12" s="1"/>
  <c r="AQ66" i="12"/>
  <c r="AR75" i="9"/>
  <c r="AR26" i="12"/>
  <c r="AR27" i="12" s="1"/>
  <c r="AQ77" i="9"/>
  <c r="AQ29" i="12"/>
  <c r="AQ155" i="12" s="1"/>
  <c r="AR76" i="12"/>
  <c r="AR62" i="12"/>
  <c r="AT16" i="9"/>
  <c r="AS48" i="9"/>
  <c r="AS50" i="9" s="1"/>
  <c r="AS40" i="9"/>
  <c r="AS42" i="9" s="1"/>
  <c r="AR74" i="9"/>
  <c r="AR72" i="9"/>
  <c r="AI5" i="9"/>
  <c r="AI4" i="9"/>
  <c r="AK7" i="9"/>
  <c r="AJ6" i="9"/>
  <c r="AR35" i="26" l="1"/>
  <c r="AR23" i="12"/>
  <c r="AR147" i="12" s="1"/>
  <c r="AR149" i="12" s="1"/>
  <c r="AR17" i="26"/>
  <c r="AR18" i="26" s="1"/>
  <c r="AR82" i="12"/>
  <c r="AR110" i="12" s="1"/>
  <c r="AR38" i="26" s="1"/>
  <c r="AS11" i="12"/>
  <c r="AS11" i="26"/>
  <c r="AS12" i="26" s="1"/>
  <c r="AN162" i="12"/>
  <c r="AR36" i="12"/>
  <c r="AR106" i="12"/>
  <c r="AR113" i="12" s="1"/>
  <c r="AR41" i="26" s="1"/>
  <c r="N75" i="26"/>
  <c r="P164" i="12"/>
  <c r="P137" i="12"/>
  <c r="Q211" i="12"/>
  <c r="O143" i="12"/>
  <c r="O166" i="12" s="1"/>
  <c r="O57" i="26"/>
  <c r="O59" i="26" s="1"/>
  <c r="O73" i="26"/>
  <c r="P70" i="26"/>
  <c r="AO127" i="12"/>
  <c r="AO117" i="12"/>
  <c r="BB69" i="12"/>
  <c r="AP71" i="12"/>
  <c r="AP72" i="12" s="1"/>
  <c r="AP109" i="12" s="1"/>
  <c r="AP37" i="26" s="1"/>
  <c r="AQ68" i="12"/>
  <c r="AQ70" i="12" s="1"/>
  <c r="AR76" i="9"/>
  <c r="AR45" i="12"/>
  <c r="AR46" i="12" s="1"/>
  <c r="AQ176" i="12"/>
  <c r="AQ157" i="12"/>
  <c r="AR139" i="12"/>
  <c r="AR141" i="12" s="1"/>
  <c r="AR58" i="26" s="1"/>
  <c r="AR64" i="12"/>
  <c r="AR151" i="12"/>
  <c r="AR153" i="12" s="1"/>
  <c r="AR64" i="26" s="1"/>
  <c r="AR77" i="9"/>
  <c r="AS60" i="12"/>
  <c r="AS12" i="12"/>
  <c r="AQ100" i="12"/>
  <c r="AQ101" i="12"/>
  <c r="AP102" i="12"/>
  <c r="AP112" i="12" s="1"/>
  <c r="AP40" i="26" s="1"/>
  <c r="AJ4" i="9"/>
  <c r="AJ5" i="9"/>
  <c r="AT18" i="9"/>
  <c r="AT19" i="9" s="1"/>
  <c r="AK6" i="9"/>
  <c r="AL7" i="9"/>
  <c r="AS62" i="9"/>
  <c r="AS64" i="9" s="1"/>
  <c r="AS20" i="26" s="1"/>
  <c r="AS21" i="26" s="1"/>
  <c r="AS68" i="9"/>
  <c r="AS70" i="9" s="1"/>
  <c r="AS35" i="12" l="1"/>
  <c r="AS29" i="26"/>
  <c r="AS30" i="26" s="1"/>
  <c r="AR24" i="12"/>
  <c r="AO129" i="12"/>
  <c r="AO131" i="12" s="1"/>
  <c r="AO172" i="12" s="1"/>
  <c r="AO177" i="12" s="1"/>
  <c r="AO188" i="12" s="1"/>
  <c r="AO190" i="12" s="1"/>
  <c r="AP187" i="12" s="1"/>
  <c r="AO47" i="26"/>
  <c r="AO49" i="26" s="1"/>
  <c r="AO51" i="26" s="1"/>
  <c r="AR82" i="26"/>
  <c r="AR29" i="12"/>
  <c r="AR155" i="12" s="1"/>
  <c r="AR176" i="12" s="1"/>
  <c r="AR23" i="26"/>
  <c r="AR65" i="26" s="1"/>
  <c r="AR84" i="26"/>
  <c r="AR66" i="26"/>
  <c r="AP42" i="26"/>
  <c r="AP44" i="26" s="1"/>
  <c r="AR174" i="12"/>
  <c r="AR63" i="26"/>
  <c r="AR83" i="26" s="1"/>
  <c r="O75" i="26"/>
  <c r="P143" i="12"/>
  <c r="P166" i="12" s="1"/>
  <c r="P57" i="26"/>
  <c r="P59" i="26" s="1"/>
  <c r="P73" i="26"/>
  <c r="AS40" i="12"/>
  <c r="AS43" i="12" s="1"/>
  <c r="AS32" i="26" s="1"/>
  <c r="AS34" i="26" s="1"/>
  <c r="AS82" i="12"/>
  <c r="AS110" i="12" s="1"/>
  <c r="AS38" i="26" s="1"/>
  <c r="AP114" i="12"/>
  <c r="AP116" i="12" s="1"/>
  <c r="AP117" i="12" s="1"/>
  <c r="BC69" i="12"/>
  <c r="AQ71" i="12"/>
  <c r="AQ72" i="12" s="1"/>
  <c r="AQ109" i="12" s="1"/>
  <c r="AQ37" i="26" s="1"/>
  <c r="AQ42" i="26" s="1"/>
  <c r="AQ44" i="26" s="1"/>
  <c r="AQ102" i="12"/>
  <c r="AQ112" i="12" s="1"/>
  <c r="AQ40" i="26" s="1"/>
  <c r="AS75" i="9"/>
  <c r="AS26" i="12"/>
  <c r="AS27" i="12" s="1"/>
  <c r="AS36" i="12"/>
  <c r="AS106" i="12"/>
  <c r="AS113" i="12" s="1"/>
  <c r="AS41" i="26" s="1"/>
  <c r="AS76" i="12"/>
  <c r="AS62" i="12"/>
  <c r="AR175" i="12"/>
  <c r="AR77" i="12"/>
  <c r="AR78" i="12" s="1"/>
  <c r="AR99" i="12" s="1"/>
  <c r="AR66" i="12"/>
  <c r="AR173" i="12"/>
  <c r="AT40" i="9"/>
  <c r="AT42" i="9" s="1"/>
  <c r="AT48" i="9"/>
  <c r="AT50" i="9" s="1"/>
  <c r="AU16" i="9"/>
  <c r="AS74" i="9"/>
  <c r="AS72" i="9"/>
  <c r="AL6" i="9"/>
  <c r="AM7" i="9"/>
  <c r="AK4" i="9"/>
  <c r="AK5" i="9"/>
  <c r="AO206" i="12" l="1"/>
  <c r="AO209" i="12" s="1"/>
  <c r="AO212" i="12" s="1"/>
  <c r="AR157" i="12"/>
  <c r="AO162" i="12"/>
  <c r="AP45" i="26"/>
  <c r="AS23" i="12"/>
  <c r="AS147" i="12" s="1"/>
  <c r="AS149" i="12" s="1"/>
  <c r="AS17" i="26"/>
  <c r="AS18" i="26" s="1"/>
  <c r="AT11" i="12"/>
  <c r="AT12" i="12" s="1"/>
  <c r="AT11" i="26"/>
  <c r="AS35" i="26"/>
  <c r="AQ45" i="26"/>
  <c r="AR85" i="26"/>
  <c r="AO81" i="26"/>
  <c r="AO86" i="26" s="1"/>
  <c r="AO108" i="26" s="1"/>
  <c r="AO111" i="26" s="1"/>
  <c r="AO114" i="26" s="1"/>
  <c r="AO71" i="26"/>
  <c r="AP124" i="12"/>
  <c r="AP125" i="12" s="1"/>
  <c r="AQ123" i="12" s="1"/>
  <c r="P75" i="26"/>
  <c r="AP127" i="12"/>
  <c r="AQ114" i="12"/>
  <c r="AQ116" i="12" s="1"/>
  <c r="AQ127" i="12" s="1"/>
  <c r="AR68" i="12"/>
  <c r="AR70" i="12" s="1"/>
  <c r="AS76" i="9"/>
  <c r="AR101" i="12"/>
  <c r="AR100" i="12"/>
  <c r="AS24" i="12"/>
  <c r="AS64" i="12"/>
  <c r="AS139" i="12"/>
  <c r="AS141" i="12" s="1"/>
  <c r="AS58" i="26" s="1"/>
  <c r="AS151" i="12"/>
  <c r="AS153" i="12" s="1"/>
  <c r="AS64" i="26" s="1"/>
  <c r="AS45" i="12"/>
  <c r="AS46" i="12" s="1"/>
  <c r="AL4" i="9"/>
  <c r="AL5" i="9"/>
  <c r="AN7" i="9"/>
  <c r="AM6" i="9"/>
  <c r="AU18" i="9"/>
  <c r="AU19" i="9" s="1"/>
  <c r="AT62" i="9"/>
  <c r="AT64" i="9" s="1"/>
  <c r="AT20" i="26" s="1"/>
  <c r="AT68" i="9"/>
  <c r="AT70" i="9" s="1"/>
  <c r="AS82" i="26" l="1"/>
  <c r="AP129" i="12"/>
  <c r="AP131" i="12" s="1"/>
  <c r="AP162" i="12" s="1"/>
  <c r="AP47" i="26"/>
  <c r="AP49" i="26" s="1"/>
  <c r="AP51" i="26" s="1"/>
  <c r="AP81" i="26" s="1"/>
  <c r="AP86" i="26" s="1"/>
  <c r="AP108" i="26" s="1"/>
  <c r="AP111" i="26" s="1"/>
  <c r="AP114" i="26" s="1"/>
  <c r="AT35" i="12"/>
  <c r="AT40" i="12" s="1"/>
  <c r="AT43" i="12" s="1"/>
  <c r="AT32" i="26" s="1"/>
  <c r="AT34" i="26" s="1"/>
  <c r="AT29" i="26"/>
  <c r="AT21" i="26"/>
  <c r="AT60" i="12"/>
  <c r="AS174" i="12"/>
  <c r="AS63" i="26"/>
  <c r="AS83" i="26" s="1"/>
  <c r="AS29" i="12"/>
  <c r="AS155" i="12" s="1"/>
  <c r="AS157" i="12" s="1"/>
  <c r="AS23" i="26"/>
  <c r="AS65" i="26" s="1"/>
  <c r="AS84" i="26"/>
  <c r="AS66" i="26"/>
  <c r="AQ129" i="12"/>
  <c r="AQ131" i="12" s="1"/>
  <c r="AQ172" i="12" s="1"/>
  <c r="AQ177" i="12" s="1"/>
  <c r="AQ206" i="12" s="1"/>
  <c r="AQ209" i="12" s="1"/>
  <c r="AQ212" i="12" s="1"/>
  <c r="AQ47" i="26"/>
  <c r="AQ49" i="26" s="1"/>
  <c r="AQ51" i="26" s="1"/>
  <c r="AQ81" i="26" s="1"/>
  <c r="AQ86" i="26" s="1"/>
  <c r="AQ108" i="26" s="1"/>
  <c r="AQ111" i="26" s="1"/>
  <c r="AQ114" i="26" s="1"/>
  <c r="AT12" i="26"/>
  <c r="AS77" i="9"/>
  <c r="AP172" i="12"/>
  <c r="AP177" i="12" s="1"/>
  <c r="AP188" i="12" s="1"/>
  <c r="AP190" i="12" s="1"/>
  <c r="AQ187" i="12" s="1"/>
  <c r="AQ117" i="12"/>
  <c r="AQ124" i="12"/>
  <c r="AQ125" i="12" s="1"/>
  <c r="AR123" i="12" s="1"/>
  <c r="AT82" i="12"/>
  <c r="AT110" i="12" s="1"/>
  <c r="AT38" i="26" s="1"/>
  <c r="AQ162" i="12"/>
  <c r="AQ188" i="12"/>
  <c r="BD69" i="12"/>
  <c r="AR71" i="12"/>
  <c r="AR72" i="12" s="1"/>
  <c r="AR109" i="12" s="1"/>
  <c r="AR37" i="26" s="1"/>
  <c r="AR102" i="12"/>
  <c r="AR112" i="12" s="1"/>
  <c r="AR40" i="26" s="1"/>
  <c r="AS175" i="12"/>
  <c r="AS173" i="12"/>
  <c r="AT36" i="12"/>
  <c r="AT106" i="12"/>
  <c r="AT113" i="12" s="1"/>
  <c r="AT41" i="26" s="1"/>
  <c r="AT75" i="9"/>
  <c r="AT26" i="12"/>
  <c r="AT27" i="12" s="1"/>
  <c r="AT76" i="12"/>
  <c r="AT62" i="12"/>
  <c r="AS77" i="12"/>
  <c r="AS78" i="12" s="1"/>
  <c r="AS99" i="12" s="1"/>
  <c r="AS66" i="12"/>
  <c r="AS176" i="12"/>
  <c r="AN6" i="9"/>
  <c r="AO7" i="9"/>
  <c r="AT72" i="9"/>
  <c r="AT74" i="9"/>
  <c r="AM5" i="9"/>
  <c r="AM4" i="9"/>
  <c r="AV16" i="9"/>
  <c r="AV18" i="9" s="1"/>
  <c r="AV19" i="9" s="1"/>
  <c r="AU40" i="9"/>
  <c r="AU42" i="9" s="1"/>
  <c r="AU48" i="9"/>
  <c r="AU50" i="9" s="1"/>
  <c r="AT35" i="26" l="1"/>
  <c r="AS85" i="26"/>
  <c r="AT30" i="26"/>
  <c r="AU11" i="12"/>
  <c r="AU11" i="26"/>
  <c r="AU12" i="26" s="1"/>
  <c r="AT23" i="12"/>
  <c r="AT147" i="12" s="1"/>
  <c r="AT149" i="12" s="1"/>
  <c r="AT17" i="26"/>
  <c r="AR42" i="26"/>
  <c r="AR44" i="26" s="1"/>
  <c r="AP71" i="26"/>
  <c r="AQ71" i="26" s="1"/>
  <c r="AT76" i="9"/>
  <c r="AP206" i="12"/>
  <c r="AP209" i="12" s="1"/>
  <c r="AP212" i="12" s="1"/>
  <c r="AQ190" i="12"/>
  <c r="AR187" i="12" s="1"/>
  <c r="AR114" i="12"/>
  <c r="AR116" i="12" s="1"/>
  <c r="AR124" i="12" s="1"/>
  <c r="AR125" i="12" s="1"/>
  <c r="AS123" i="12" s="1"/>
  <c r="AS68" i="12"/>
  <c r="AS70" i="12" s="1"/>
  <c r="AU60" i="12"/>
  <c r="AU12" i="12"/>
  <c r="AT45" i="12"/>
  <c r="AT46" i="12" s="1"/>
  <c r="AT77" i="9"/>
  <c r="AT24" i="12"/>
  <c r="AT64" i="12"/>
  <c r="AT139" i="12"/>
  <c r="AT141" i="12" s="1"/>
  <c r="AT58" i="26" s="1"/>
  <c r="AT151" i="12"/>
  <c r="AT153" i="12" s="1"/>
  <c r="AT64" i="26" s="1"/>
  <c r="AS101" i="12"/>
  <c r="AS100" i="12"/>
  <c r="AW16" i="9"/>
  <c r="AW18" i="9" s="1"/>
  <c r="AW19" i="9" s="1"/>
  <c r="AV48" i="9"/>
  <c r="AV50" i="9" s="1"/>
  <c r="AV40" i="9"/>
  <c r="AV42" i="9" s="1"/>
  <c r="AO6" i="9"/>
  <c r="AP7" i="9"/>
  <c r="AU62" i="9"/>
  <c r="AU64" i="9" s="1"/>
  <c r="AU20" i="26" s="1"/>
  <c r="AU21" i="26" s="1"/>
  <c r="AU68" i="9"/>
  <c r="AU70" i="9" s="1"/>
  <c r="AN5" i="9"/>
  <c r="AN4" i="9"/>
  <c r="AR45" i="26" l="1"/>
  <c r="AU35" i="12"/>
  <c r="AU40" i="12" s="1"/>
  <c r="AU43" i="12" s="1"/>
  <c r="AU32" i="26" s="1"/>
  <c r="AU34" i="26" s="1"/>
  <c r="AU29" i="26"/>
  <c r="AU30" i="26" s="1"/>
  <c r="AV11" i="12"/>
  <c r="AV60" i="12" s="1"/>
  <c r="AV11" i="26"/>
  <c r="AV12" i="26" s="1"/>
  <c r="AT18" i="26"/>
  <c r="AT84" i="26"/>
  <c r="AT29" i="12"/>
  <c r="AT155" i="12" s="1"/>
  <c r="AT176" i="12" s="1"/>
  <c r="AT23" i="26"/>
  <c r="AT65" i="26" s="1"/>
  <c r="AT174" i="12"/>
  <c r="AT63" i="26"/>
  <c r="AT83" i="26" s="1"/>
  <c r="AT82" i="26"/>
  <c r="AR117" i="12"/>
  <c r="AR127" i="12"/>
  <c r="AU82" i="12"/>
  <c r="AU110" i="12" s="1"/>
  <c r="AU38" i="26" s="1"/>
  <c r="BE69" i="12"/>
  <c r="AS71" i="12"/>
  <c r="AS72" i="12" s="1"/>
  <c r="AS109" i="12" s="1"/>
  <c r="AS37" i="26" s="1"/>
  <c r="AS42" i="26" s="1"/>
  <c r="AS44" i="26" s="1"/>
  <c r="AU36" i="12"/>
  <c r="AV12" i="12"/>
  <c r="AT173" i="12"/>
  <c r="AU75" i="9"/>
  <c r="AU26" i="12"/>
  <c r="AT77" i="12"/>
  <c r="AT78" i="12" s="1"/>
  <c r="AT99" i="12" s="1"/>
  <c r="AT66" i="12"/>
  <c r="AU76" i="12"/>
  <c r="AU62" i="12"/>
  <c r="AS102" i="12"/>
  <c r="AS112" i="12" s="1"/>
  <c r="AS40" i="26" s="1"/>
  <c r="AT175" i="12"/>
  <c r="AQ7" i="9"/>
  <c r="AP6" i="9"/>
  <c r="AO4" i="9"/>
  <c r="AO5" i="9"/>
  <c r="AU74" i="9"/>
  <c r="AU72" i="9"/>
  <c r="AV62" i="9"/>
  <c r="AV64" i="9" s="1"/>
  <c r="AV20" i="26" s="1"/>
  <c r="AV21" i="26" s="1"/>
  <c r="AV68" i="9"/>
  <c r="AV70" i="9" s="1"/>
  <c r="AX16" i="9"/>
  <c r="AX18" i="9" s="1"/>
  <c r="AX19" i="9" s="1"/>
  <c r="AW40" i="9"/>
  <c r="AW42" i="9" s="1"/>
  <c r="AW48" i="9"/>
  <c r="AW50" i="9" s="1"/>
  <c r="AU35" i="26" l="1"/>
  <c r="AV35" i="12"/>
  <c r="AV82" i="12" s="1"/>
  <c r="AV110" i="12" s="1"/>
  <c r="AV38" i="26" s="1"/>
  <c r="AV29" i="26"/>
  <c r="AV30" i="26" s="1"/>
  <c r="AT157" i="12"/>
  <c r="AT66" i="26"/>
  <c r="AS45" i="26"/>
  <c r="AR129" i="12"/>
  <c r="AR131" i="12" s="1"/>
  <c r="AR172" i="12" s="1"/>
  <c r="AR177" i="12" s="1"/>
  <c r="AR188" i="12" s="1"/>
  <c r="AR190" i="12" s="1"/>
  <c r="AS187" i="12" s="1"/>
  <c r="AR47" i="26"/>
  <c r="AR49" i="26" s="1"/>
  <c r="AR51" i="26" s="1"/>
  <c r="AW11" i="12"/>
  <c r="AW12" i="12" s="1"/>
  <c r="AW11" i="26"/>
  <c r="AU23" i="12"/>
  <c r="AU147" i="12" s="1"/>
  <c r="AU149" i="12" s="1"/>
  <c r="AU17" i="26"/>
  <c r="AU18" i="26" s="1"/>
  <c r="AU106" i="12"/>
  <c r="AU113" i="12" s="1"/>
  <c r="AU41" i="26" s="1"/>
  <c r="AT85" i="26"/>
  <c r="AR206" i="12"/>
  <c r="AR209" i="12" s="1"/>
  <c r="AR212" i="12" s="1"/>
  <c r="AR162" i="12"/>
  <c r="AV40" i="12"/>
  <c r="AV43" i="12" s="1"/>
  <c r="AV32" i="26" s="1"/>
  <c r="AV34" i="26" s="1"/>
  <c r="AS114" i="12"/>
  <c r="AS116" i="12" s="1"/>
  <c r="AS124" i="12" s="1"/>
  <c r="AS125" i="12" s="1"/>
  <c r="AT123" i="12" s="1"/>
  <c r="AT68" i="12"/>
  <c r="AT70" i="12" s="1"/>
  <c r="AU76" i="9"/>
  <c r="AT101" i="12"/>
  <c r="AT100" i="12"/>
  <c r="AU27" i="12"/>
  <c r="AU45" i="12"/>
  <c r="AW60" i="12"/>
  <c r="AV75" i="9"/>
  <c r="AV26" i="12"/>
  <c r="AV27" i="12" s="1"/>
  <c r="AU64" i="12"/>
  <c r="AU151" i="12"/>
  <c r="AU153" i="12" s="1"/>
  <c r="AU64" i="26" s="1"/>
  <c r="AU139" i="12"/>
  <c r="AU141" i="12" s="1"/>
  <c r="AU58" i="26" s="1"/>
  <c r="AU82" i="26" s="1"/>
  <c r="AU24" i="12"/>
  <c r="AV76" i="12"/>
  <c r="AV62" i="12"/>
  <c r="AV106" i="12"/>
  <c r="AV113" i="12" s="1"/>
  <c r="AV41" i="26" s="1"/>
  <c r="AV36" i="12"/>
  <c r="AW62" i="9"/>
  <c r="AW64" i="9" s="1"/>
  <c r="AW20" i="26" s="1"/>
  <c r="AW21" i="26" s="1"/>
  <c r="AW68" i="9"/>
  <c r="AW70" i="9" s="1"/>
  <c r="AV74" i="9"/>
  <c r="AV72" i="9"/>
  <c r="AP5" i="9"/>
  <c r="AP4" i="9"/>
  <c r="AY16" i="9"/>
  <c r="AX40" i="9"/>
  <c r="AX42" i="9" s="1"/>
  <c r="AX48" i="9"/>
  <c r="AX50" i="9" s="1"/>
  <c r="AQ6" i="9"/>
  <c r="AR7" i="9"/>
  <c r="AW12" i="26" l="1"/>
  <c r="AX11" i="12"/>
  <c r="AX11" i="26"/>
  <c r="AV23" i="12"/>
  <c r="AV147" i="12" s="1"/>
  <c r="AV149" i="12" s="1"/>
  <c r="AV17" i="26"/>
  <c r="AV18" i="26" s="1"/>
  <c r="AW35" i="12"/>
  <c r="AW29" i="26"/>
  <c r="AU84" i="26"/>
  <c r="AR81" i="26"/>
  <c r="AR86" i="26" s="1"/>
  <c r="AR108" i="26" s="1"/>
  <c r="AR111" i="26" s="1"/>
  <c r="AR114" i="26" s="1"/>
  <c r="AR71" i="26"/>
  <c r="AU77" i="9"/>
  <c r="AU23" i="26"/>
  <c r="AU65" i="26" s="1"/>
  <c r="AV35" i="26"/>
  <c r="AV76" i="9"/>
  <c r="AV23" i="26" s="1"/>
  <c r="AU174" i="12"/>
  <c r="AU63" i="26"/>
  <c r="AU83" i="26" s="1"/>
  <c r="AV24" i="12"/>
  <c r="AS127" i="12"/>
  <c r="AW40" i="12"/>
  <c r="AW43" i="12" s="1"/>
  <c r="AW32" i="26" s="1"/>
  <c r="AW34" i="26" s="1"/>
  <c r="AW82" i="12"/>
  <c r="AW110" i="12" s="1"/>
  <c r="AW38" i="26" s="1"/>
  <c r="AS117" i="12"/>
  <c r="BF69" i="12"/>
  <c r="AT71" i="12"/>
  <c r="AT72" i="12" s="1"/>
  <c r="AT109" i="12" s="1"/>
  <c r="AT37" i="26" s="1"/>
  <c r="AT42" i="26" s="1"/>
  <c r="AT44" i="26" s="1"/>
  <c r="AU29" i="12"/>
  <c r="AU155" i="12" s="1"/>
  <c r="AU176" i="12" s="1"/>
  <c r="AW76" i="12"/>
  <c r="AW62" i="12"/>
  <c r="AV77" i="9"/>
  <c r="AV29" i="12"/>
  <c r="AT102" i="12"/>
  <c r="AT112" i="12" s="1"/>
  <c r="AT40" i="26" s="1"/>
  <c r="AV64" i="12"/>
  <c r="AV151" i="12"/>
  <c r="AV153" i="12" s="1"/>
  <c r="AV64" i="26" s="1"/>
  <c r="AU77" i="12"/>
  <c r="AU78" i="12" s="1"/>
  <c r="AU99" i="12" s="1"/>
  <c r="AU66" i="12"/>
  <c r="AU46" i="12"/>
  <c r="AX12" i="12"/>
  <c r="AX60" i="12"/>
  <c r="AW36" i="12"/>
  <c r="AW106" i="12"/>
  <c r="AW113" i="12" s="1"/>
  <c r="AW41" i="26" s="1"/>
  <c r="AV45" i="12"/>
  <c r="AU173" i="12"/>
  <c r="AW75" i="9"/>
  <c r="AW26" i="12"/>
  <c r="AW27" i="12" s="1"/>
  <c r="AU175" i="12"/>
  <c r="AS7" i="9"/>
  <c r="AR6" i="9"/>
  <c r="AY18" i="9"/>
  <c r="AY19" i="9" s="1"/>
  <c r="AQ4" i="9"/>
  <c r="AQ5" i="9"/>
  <c r="AW74" i="9"/>
  <c r="AW72" i="9"/>
  <c r="AX62" i="9"/>
  <c r="AX64" i="9" s="1"/>
  <c r="AX20" i="26" s="1"/>
  <c r="AX68" i="9"/>
  <c r="AX70" i="9" s="1"/>
  <c r="AV174" i="12" l="1"/>
  <c r="AV63" i="26"/>
  <c r="AV83" i="26" s="1"/>
  <c r="AT45" i="26"/>
  <c r="AX30" i="26"/>
  <c r="AW30" i="26"/>
  <c r="AV139" i="12"/>
  <c r="AV141" i="12" s="1"/>
  <c r="AS129" i="12"/>
  <c r="AS131" i="12" s="1"/>
  <c r="AS172" i="12" s="1"/>
  <c r="AS177" i="12" s="1"/>
  <c r="AS188" i="12" s="1"/>
  <c r="AS190" i="12" s="1"/>
  <c r="AT187" i="12" s="1"/>
  <c r="AS47" i="26"/>
  <c r="AS49" i="26" s="1"/>
  <c r="AS51" i="26" s="1"/>
  <c r="AS81" i="26" s="1"/>
  <c r="AS86" i="26" s="1"/>
  <c r="AS108" i="26" s="1"/>
  <c r="AS111" i="26" s="1"/>
  <c r="AS114" i="26" s="1"/>
  <c r="AX35" i="12"/>
  <c r="AX40" i="12" s="1"/>
  <c r="AX43" i="12" s="1"/>
  <c r="AX29" i="26"/>
  <c r="AU85" i="26"/>
  <c r="AV65" i="26"/>
  <c r="AU66" i="26"/>
  <c r="AW23" i="12"/>
  <c r="AW147" i="12" s="1"/>
  <c r="AW149" i="12" s="1"/>
  <c r="AW17" i="26"/>
  <c r="AW35" i="26"/>
  <c r="AX21" i="26"/>
  <c r="AV84" i="26"/>
  <c r="AV66" i="26"/>
  <c r="AX12" i="26"/>
  <c r="AS206" i="12"/>
  <c r="AS209" i="12" s="1"/>
  <c r="AS212" i="12" s="1"/>
  <c r="AV155" i="12"/>
  <c r="AV176" i="12" s="1"/>
  <c r="AS162" i="12"/>
  <c r="AT114" i="12"/>
  <c r="AT116" i="12" s="1"/>
  <c r="AT127" i="12" s="1"/>
  <c r="AU157" i="12"/>
  <c r="AU68" i="12"/>
  <c r="AU70" i="12" s="1"/>
  <c r="AW45" i="12"/>
  <c r="AW46" i="12" s="1"/>
  <c r="AV77" i="12"/>
  <c r="AV78" i="12" s="1"/>
  <c r="AV99" i="12" s="1"/>
  <c r="AV66" i="12"/>
  <c r="AW76" i="9"/>
  <c r="AW23" i="26" s="1"/>
  <c r="AX76" i="12"/>
  <c r="AX62" i="12"/>
  <c r="AW64" i="12"/>
  <c r="AW139" i="12"/>
  <c r="AW141" i="12" s="1"/>
  <c r="AW24" i="12"/>
  <c r="AW151" i="12"/>
  <c r="AW153" i="12" s="1"/>
  <c r="AW64" i="26" s="1"/>
  <c r="AU100" i="12"/>
  <c r="AU101" i="12"/>
  <c r="AV46" i="12"/>
  <c r="AX106" i="12"/>
  <c r="AX113" i="12" s="1"/>
  <c r="AX41" i="26" s="1"/>
  <c r="AX75" i="9"/>
  <c r="AX26" i="12"/>
  <c r="AX27" i="12" s="1"/>
  <c r="AV175" i="12"/>
  <c r="AY40" i="9"/>
  <c r="AY42" i="9" s="1"/>
  <c r="AZ16" i="9"/>
  <c r="AY48" i="9"/>
  <c r="AY50" i="9" s="1"/>
  <c r="AX74" i="9"/>
  <c r="AX72" i="9"/>
  <c r="AR4" i="9"/>
  <c r="AR5" i="9"/>
  <c r="AS6" i="9"/>
  <c r="AT7" i="9"/>
  <c r="AX45" i="12" l="1"/>
  <c r="AX46" i="12" s="1"/>
  <c r="AX32" i="26"/>
  <c r="AX34" i="26" s="1"/>
  <c r="AX36" i="12"/>
  <c r="AW84" i="26"/>
  <c r="AT129" i="12"/>
  <c r="AT131" i="12" s="1"/>
  <c r="AT172" i="12" s="1"/>
  <c r="AT177" i="12" s="1"/>
  <c r="AT206" i="12" s="1"/>
  <c r="AT209" i="12" s="1"/>
  <c r="AT212" i="12" s="1"/>
  <c r="AT47" i="26"/>
  <c r="AT49" i="26" s="1"/>
  <c r="AT51" i="26" s="1"/>
  <c r="AT81" i="26" s="1"/>
  <c r="AT86" i="26" s="1"/>
  <c r="AT108" i="26" s="1"/>
  <c r="AT111" i="26" s="1"/>
  <c r="AT114" i="26" s="1"/>
  <c r="AV85" i="26"/>
  <c r="AW65" i="26"/>
  <c r="AY11" i="12"/>
  <c r="AY11" i="26"/>
  <c r="AY12" i="26" s="1"/>
  <c r="AX82" i="12"/>
  <c r="AX110" i="12" s="1"/>
  <c r="AX38" i="26" s="1"/>
  <c r="AW18" i="26"/>
  <c r="AX23" i="12"/>
  <c r="AX147" i="12" s="1"/>
  <c r="AX149" i="12" s="1"/>
  <c r="AX17" i="26"/>
  <c r="AW173" i="12"/>
  <c r="AW58" i="26"/>
  <c r="AW174" i="12"/>
  <c r="AW63" i="26"/>
  <c r="AW83" i="26" s="1"/>
  <c r="AV173" i="12"/>
  <c r="AV58" i="26"/>
  <c r="AS71" i="26"/>
  <c r="AT71" i="26" s="1"/>
  <c r="AV157" i="12"/>
  <c r="AT124" i="12"/>
  <c r="AT125" i="12" s="1"/>
  <c r="AU123" i="12" s="1"/>
  <c r="AT117" i="12"/>
  <c r="AT188" i="12"/>
  <c r="AT190" i="12" s="1"/>
  <c r="AU187" i="12" s="1"/>
  <c r="AT162" i="12"/>
  <c r="BG69" i="12"/>
  <c r="AU71" i="12"/>
  <c r="AU72" i="12" s="1"/>
  <c r="AU109" i="12" s="1"/>
  <c r="AU37" i="26" s="1"/>
  <c r="AU42" i="26" s="1"/>
  <c r="AU44" i="26" s="1"/>
  <c r="AV68" i="12"/>
  <c r="AV70" i="12" s="1"/>
  <c r="AU102" i="12"/>
  <c r="AU112" i="12" s="1"/>
  <c r="AU40" i="26" s="1"/>
  <c r="AV100" i="12"/>
  <c r="AV101" i="12"/>
  <c r="AW77" i="12"/>
  <c r="AW78" i="12" s="1"/>
  <c r="AW99" i="12" s="1"/>
  <c r="AW66" i="12"/>
  <c r="AX139" i="12"/>
  <c r="AX141" i="12" s="1"/>
  <c r="AX58" i="26" s="1"/>
  <c r="AY60" i="12"/>
  <c r="AY12" i="12"/>
  <c r="AX76" i="9"/>
  <c r="AX23" i="26" s="1"/>
  <c r="AW175" i="12"/>
  <c r="AW77" i="9"/>
  <c r="AW29" i="12"/>
  <c r="AW155" i="12" s="1"/>
  <c r="AS4" i="9"/>
  <c r="AS5" i="9"/>
  <c r="AY68" i="9"/>
  <c r="AY70" i="9" s="1"/>
  <c r="AY62" i="9"/>
  <c r="AY64" i="9" s="1"/>
  <c r="AY20" i="26" s="1"/>
  <c r="AY21" i="26" s="1"/>
  <c r="AZ18" i="9"/>
  <c r="AZ19" i="9" s="1"/>
  <c r="AT6" i="9"/>
  <c r="AU7" i="9"/>
  <c r="AY35" i="12" l="1"/>
  <c r="AY40" i="12" s="1"/>
  <c r="AY43" i="12" s="1"/>
  <c r="AY32" i="26" s="1"/>
  <c r="AY34" i="26" s="1"/>
  <c r="AY29" i="26"/>
  <c r="AY30" i="26" s="1"/>
  <c r="AX24" i="12"/>
  <c r="AX82" i="26"/>
  <c r="AU45" i="26"/>
  <c r="AV82" i="26"/>
  <c r="AW82" i="26"/>
  <c r="AX174" i="12"/>
  <c r="AX63" i="26"/>
  <c r="AX83" i="26" s="1"/>
  <c r="AX151" i="12"/>
  <c r="AX153" i="12" s="1"/>
  <c r="AX64" i="26" s="1"/>
  <c r="AX35" i="26"/>
  <c r="AX64" i="12"/>
  <c r="AX18" i="26"/>
  <c r="AX65" i="26"/>
  <c r="AW85" i="26"/>
  <c r="AW66" i="26"/>
  <c r="AU114" i="12"/>
  <c r="AU116" i="12" s="1"/>
  <c r="AU127" i="12" s="1"/>
  <c r="AY82" i="12"/>
  <c r="AY110" i="12" s="1"/>
  <c r="AY38" i="26" s="1"/>
  <c r="BH69" i="12"/>
  <c r="AV71" i="12"/>
  <c r="AV72" i="12" s="1"/>
  <c r="AV109" i="12" s="1"/>
  <c r="AV37" i="26" s="1"/>
  <c r="AV42" i="26" s="1"/>
  <c r="AV44" i="26" s="1"/>
  <c r="AW68" i="12"/>
  <c r="AW70" i="12" s="1"/>
  <c r="AY106" i="12"/>
  <c r="AY113" i="12" s="1"/>
  <c r="AY41" i="26" s="1"/>
  <c r="AY36" i="12"/>
  <c r="AX77" i="9"/>
  <c r="AX29" i="12"/>
  <c r="AX155" i="12" s="1"/>
  <c r="AX157" i="12" s="1"/>
  <c r="AX77" i="12"/>
  <c r="AX78" i="12" s="1"/>
  <c r="AX99" i="12" s="1"/>
  <c r="AX66" i="12"/>
  <c r="AW100" i="12"/>
  <c r="AW101" i="12"/>
  <c r="AY75" i="9"/>
  <c r="AY26" i="12"/>
  <c r="AW176" i="12"/>
  <c r="AX175" i="12"/>
  <c r="AW157" i="12"/>
  <c r="AY76" i="12"/>
  <c r="AY62" i="12"/>
  <c r="AV102" i="12"/>
  <c r="AV112" i="12" s="1"/>
  <c r="AV40" i="26" s="1"/>
  <c r="AX173" i="12"/>
  <c r="AV7" i="9"/>
  <c r="AU6" i="9"/>
  <c r="AT5" i="9"/>
  <c r="AT4" i="9"/>
  <c r="AY74" i="9"/>
  <c r="AY72" i="9"/>
  <c r="AZ40" i="9"/>
  <c r="AZ42" i="9" s="1"/>
  <c r="BA16" i="9"/>
  <c r="BA18" i="9" s="1"/>
  <c r="BA19" i="9" s="1"/>
  <c r="AZ48" i="9"/>
  <c r="AZ50" i="9" s="1"/>
  <c r="AY35" i="26" l="1"/>
  <c r="AU129" i="12"/>
  <c r="AU131" i="12" s="1"/>
  <c r="AU172" i="12" s="1"/>
  <c r="AU177" i="12" s="1"/>
  <c r="AU206" i="12" s="1"/>
  <c r="AU209" i="12" s="1"/>
  <c r="AU212" i="12" s="1"/>
  <c r="AU47" i="26"/>
  <c r="AU49" i="26" s="1"/>
  <c r="AU51" i="26" s="1"/>
  <c r="AY23" i="12"/>
  <c r="AY147" i="12" s="1"/>
  <c r="AY149" i="12" s="1"/>
  <c r="AY17" i="26"/>
  <c r="AY18" i="26" s="1"/>
  <c r="AV45" i="26"/>
  <c r="AZ11" i="12"/>
  <c r="AZ12" i="12" s="1"/>
  <c r="AZ11" i="26"/>
  <c r="AX85" i="26"/>
  <c r="AX84" i="26"/>
  <c r="AX66" i="26"/>
  <c r="AU124" i="12"/>
  <c r="AU125" i="12" s="1"/>
  <c r="AV123" i="12" s="1"/>
  <c r="AU117" i="12"/>
  <c r="AU162" i="12"/>
  <c r="AU188" i="12"/>
  <c r="AU190" i="12" s="1"/>
  <c r="AV187" i="12" s="1"/>
  <c r="AV114" i="12"/>
  <c r="AV116" i="12" s="1"/>
  <c r="AV117" i="12" s="1"/>
  <c r="BI69" i="12"/>
  <c r="AW71" i="12"/>
  <c r="AW72" i="12" s="1"/>
  <c r="AW109" i="12" s="1"/>
  <c r="AW37" i="26" s="1"/>
  <c r="AX68" i="12"/>
  <c r="AX70" i="12" s="1"/>
  <c r="AY45" i="12"/>
  <c r="AY46" i="12" s="1"/>
  <c r="AY76" i="9"/>
  <c r="AW102" i="12"/>
  <c r="AW112" i="12" s="1"/>
  <c r="AW40" i="26" s="1"/>
  <c r="AZ60" i="12"/>
  <c r="AY27" i="12"/>
  <c r="AX100" i="12"/>
  <c r="AX101" i="12"/>
  <c r="AX176" i="12"/>
  <c r="AY64" i="12"/>
  <c r="AY151" i="12"/>
  <c r="AY153" i="12" s="1"/>
  <c r="AY64" i="26" s="1"/>
  <c r="AY139" i="12"/>
  <c r="AY141" i="12" s="1"/>
  <c r="AY58" i="26" s="1"/>
  <c r="AY82" i="26" s="1"/>
  <c r="AY24" i="12"/>
  <c r="BB16" i="9"/>
  <c r="BB18" i="9" s="1"/>
  <c r="BB19" i="9" s="1"/>
  <c r="BA40" i="9"/>
  <c r="BA42" i="9" s="1"/>
  <c r="BA48" i="9"/>
  <c r="BA50" i="9" s="1"/>
  <c r="AU4" i="9"/>
  <c r="AU5" i="9"/>
  <c r="AZ62" i="9"/>
  <c r="AZ64" i="9" s="1"/>
  <c r="AZ20" i="26" s="1"/>
  <c r="AZ21" i="26" s="1"/>
  <c r="AZ68" i="9"/>
  <c r="AZ70" i="9" s="1"/>
  <c r="AW7" i="9"/>
  <c r="AV6" i="9"/>
  <c r="BA11" i="12" l="1"/>
  <c r="BA11" i="26"/>
  <c r="BA12" i="26" s="1"/>
  <c r="AY84" i="26"/>
  <c r="AY66" i="26"/>
  <c r="AU81" i="26"/>
  <c r="AU86" i="26" s="1"/>
  <c r="AU108" i="26" s="1"/>
  <c r="AU111" i="26" s="1"/>
  <c r="AU114" i="26" s="1"/>
  <c r="AU71" i="26"/>
  <c r="AZ35" i="12"/>
  <c r="AZ29" i="26"/>
  <c r="AZ30" i="26" s="1"/>
  <c r="AZ12" i="26"/>
  <c r="AW42" i="26"/>
  <c r="AW44" i="26" s="1"/>
  <c r="AY77" i="9"/>
  <c r="AY23" i="26"/>
  <c r="AY65" i="26" s="1"/>
  <c r="AY174" i="12"/>
  <c r="AY63" i="26"/>
  <c r="AY83" i="26" s="1"/>
  <c r="AV127" i="12"/>
  <c r="AZ40" i="12"/>
  <c r="AZ43" i="12" s="1"/>
  <c r="AZ32" i="26" s="1"/>
  <c r="AZ82" i="12"/>
  <c r="AZ110" i="12" s="1"/>
  <c r="AZ38" i="26" s="1"/>
  <c r="AW114" i="12"/>
  <c r="AW116" i="12" s="1"/>
  <c r="AW124" i="12" s="1"/>
  <c r="AV124" i="12"/>
  <c r="AV125" i="12" s="1"/>
  <c r="AW123" i="12" s="1"/>
  <c r="BJ69" i="12"/>
  <c r="AX71" i="12"/>
  <c r="AX72" i="12" s="1"/>
  <c r="AX109" i="12" s="1"/>
  <c r="AX37" i="26" s="1"/>
  <c r="AX42" i="26" s="1"/>
  <c r="AX44" i="26" s="1"/>
  <c r="AY29" i="12"/>
  <c r="AY155" i="12" s="1"/>
  <c r="AY157" i="12" s="1"/>
  <c r="AY173" i="12"/>
  <c r="AY175" i="12"/>
  <c r="AY77" i="12"/>
  <c r="AY78" i="12" s="1"/>
  <c r="AY99" i="12" s="1"/>
  <c r="AY66" i="12"/>
  <c r="AZ76" i="12"/>
  <c r="AZ62" i="12"/>
  <c r="AZ75" i="9"/>
  <c r="AZ26" i="12"/>
  <c r="AZ27" i="12" s="1"/>
  <c r="BA60" i="12"/>
  <c r="BA12" i="12"/>
  <c r="AZ106" i="12"/>
  <c r="AZ113" i="12" s="1"/>
  <c r="AZ41" i="26" s="1"/>
  <c r="AZ36" i="12"/>
  <c r="AX102" i="12"/>
  <c r="AX112" i="12" s="1"/>
  <c r="AX40" i="26" s="1"/>
  <c r="AW6" i="9"/>
  <c r="AX7" i="9"/>
  <c r="AZ74" i="9"/>
  <c r="AZ72" i="9"/>
  <c r="BA62" i="9"/>
  <c r="BA64" i="9" s="1"/>
  <c r="BA20" i="26" s="1"/>
  <c r="BA21" i="26" s="1"/>
  <c r="BA68" i="9"/>
  <c r="BA70" i="9" s="1"/>
  <c r="AV4" i="9"/>
  <c r="AV5" i="9"/>
  <c r="BC16" i="9"/>
  <c r="BB40" i="9"/>
  <c r="BB42" i="9" s="1"/>
  <c r="BB48" i="9"/>
  <c r="BB50" i="9" s="1"/>
  <c r="AZ34" i="26" l="1"/>
  <c r="AW45" i="26"/>
  <c r="AX45" i="26"/>
  <c r="AZ23" i="12"/>
  <c r="AZ147" i="12" s="1"/>
  <c r="AZ149" i="12" s="1"/>
  <c r="AZ17" i="26"/>
  <c r="AZ18" i="26" s="1"/>
  <c r="BB11" i="12"/>
  <c r="BB11" i="26"/>
  <c r="BA35" i="12"/>
  <c r="BA29" i="26"/>
  <c r="AV129" i="12"/>
  <c r="AV131" i="12" s="1"/>
  <c r="AV47" i="26"/>
  <c r="AV49" i="26" s="1"/>
  <c r="AV51" i="26" s="1"/>
  <c r="AV81" i="26" s="1"/>
  <c r="AV86" i="26" s="1"/>
  <c r="AV108" i="26" s="1"/>
  <c r="AV111" i="26" s="1"/>
  <c r="AV114" i="26" s="1"/>
  <c r="AY85" i="26"/>
  <c r="AW117" i="12"/>
  <c r="AV172" i="12"/>
  <c r="AV177" i="12" s="1"/>
  <c r="AV162" i="12"/>
  <c r="AW127" i="12"/>
  <c r="AW125" i="12"/>
  <c r="AX123" i="12" s="1"/>
  <c r="BA40" i="12"/>
  <c r="BA43" i="12" s="1"/>
  <c r="BA32" i="26" s="1"/>
  <c r="BA82" i="12"/>
  <c r="BA110" i="12" s="1"/>
  <c r="BA38" i="26" s="1"/>
  <c r="AX114" i="12"/>
  <c r="AX116" i="12" s="1"/>
  <c r="AX127" i="12" s="1"/>
  <c r="AY68" i="12"/>
  <c r="AY70" i="12" s="1"/>
  <c r="AZ76" i="9"/>
  <c r="AY176" i="12"/>
  <c r="AZ45" i="12"/>
  <c r="AZ46" i="12" s="1"/>
  <c r="AY101" i="12"/>
  <c r="AY100" i="12"/>
  <c r="BA75" i="9"/>
  <c r="BA26" i="12"/>
  <c r="BA27" i="12" s="1"/>
  <c r="AZ64" i="12"/>
  <c r="AZ139" i="12"/>
  <c r="AZ141" i="12" s="1"/>
  <c r="AZ58" i="26" s="1"/>
  <c r="AZ151" i="12"/>
  <c r="AZ153" i="12" s="1"/>
  <c r="AZ64" i="26" s="1"/>
  <c r="AZ29" i="12"/>
  <c r="AZ155" i="12" s="1"/>
  <c r="BB12" i="12"/>
  <c r="BB60" i="12"/>
  <c r="BA36" i="12"/>
  <c r="BA106" i="12"/>
  <c r="BA113" i="12" s="1"/>
  <c r="BA41" i="26" s="1"/>
  <c r="BA76" i="12"/>
  <c r="BA62" i="12"/>
  <c r="BB62" i="9"/>
  <c r="BB64" i="9" s="1"/>
  <c r="BB20" i="26" s="1"/>
  <c r="BB68" i="9"/>
  <c r="BA74" i="9"/>
  <c r="BA72" i="9"/>
  <c r="AX6" i="9"/>
  <c r="AY7" i="9"/>
  <c r="BC18" i="9"/>
  <c r="BC19" i="9" s="1"/>
  <c r="AW4" i="9"/>
  <c r="AW5" i="9"/>
  <c r="BA34" i="26" l="1"/>
  <c r="BA30" i="26"/>
  <c r="AZ82" i="26"/>
  <c r="BA82" i="26"/>
  <c r="AZ77" i="9"/>
  <c r="AZ23" i="26"/>
  <c r="AZ65" i="26" s="1"/>
  <c r="AZ174" i="12"/>
  <c r="AZ63" i="26"/>
  <c r="AZ83" i="26" s="1"/>
  <c r="BB12" i="26"/>
  <c r="AV71" i="26"/>
  <c r="BA23" i="12"/>
  <c r="BA147" i="12" s="1"/>
  <c r="BA149" i="12" s="1"/>
  <c r="BA17" i="26"/>
  <c r="BA18" i="26" s="1"/>
  <c r="AZ84" i="26"/>
  <c r="AZ66" i="26"/>
  <c r="BB21" i="26"/>
  <c r="AZ24" i="12"/>
  <c r="AX129" i="12"/>
  <c r="AX131" i="12" s="1"/>
  <c r="AX172" i="12" s="1"/>
  <c r="AX177" i="12" s="1"/>
  <c r="AX206" i="12" s="1"/>
  <c r="AX209" i="12" s="1"/>
  <c r="AX212" i="12" s="1"/>
  <c r="AX47" i="26"/>
  <c r="AX49" i="26" s="1"/>
  <c r="AX51" i="26" s="1"/>
  <c r="AX81" i="26" s="1"/>
  <c r="AX86" i="26" s="1"/>
  <c r="AX108" i="26" s="1"/>
  <c r="AX111" i="26" s="1"/>
  <c r="AX114" i="26" s="1"/>
  <c r="AW129" i="12"/>
  <c r="AW131" i="12" s="1"/>
  <c r="AW172" i="12" s="1"/>
  <c r="AW177" i="12" s="1"/>
  <c r="AW47" i="26"/>
  <c r="AW49" i="26" s="1"/>
  <c r="AW51" i="26" s="1"/>
  <c r="AW81" i="26" s="1"/>
  <c r="AW86" i="26" s="1"/>
  <c r="AW108" i="26" s="1"/>
  <c r="AW111" i="26" s="1"/>
  <c r="AW114" i="26" s="1"/>
  <c r="AZ35" i="26"/>
  <c r="AV206" i="12"/>
  <c r="AV209" i="12" s="1"/>
  <c r="AV212" i="12" s="1"/>
  <c r="AV188" i="12"/>
  <c r="AV190" i="12" s="1"/>
  <c r="AW187" i="12" s="1"/>
  <c r="AX188" i="12"/>
  <c r="AX124" i="12"/>
  <c r="AX125" i="12" s="1"/>
  <c r="AY123" i="12" s="1"/>
  <c r="AX117" i="12"/>
  <c r="BK69" i="12"/>
  <c r="AY71" i="12"/>
  <c r="AY72" i="12" s="1"/>
  <c r="AY109" i="12" s="1"/>
  <c r="AY37" i="26" s="1"/>
  <c r="AY42" i="26" s="1"/>
  <c r="AY44" i="26" s="1"/>
  <c r="BA76" i="9"/>
  <c r="BB75" i="9"/>
  <c r="BB26" i="12"/>
  <c r="BB27" i="12" s="1"/>
  <c r="BA45" i="12"/>
  <c r="BA46" i="12" s="1"/>
  <c r="AZ175" i="12"/>
  <c r="AZ157" i="12"/>
  <c r="BA64" i="12"/>
  <c r="BA24" i="12"/>
  <c r="BA151" i="12"/>
  <c r="BA153" i="12" s="1"/>
  <c r="BA64" i="26" s="1"/>
  <c r="BA139" i="12"/>
  <c r="BA141" i="12" s="1"/>
  <c r="BA58" i="26" s="1"/>
  <c r="AZ176" i="12"/>
  <c r="AZ173" i="12"/>
  <c r="BA77" i="9"/>
  <c r="BB76" i="12"/>
  <c r="BB62" i="12"/>
  <c r="AZ77" i="12"/>
  <c r="AZ78" i="12" s="1"/>
  <c r="AZ99" i="12" s="1"/>
  <c r="AZ66" i="12"/>
  <c r="AY102" i="12"/>
  <c r="AY112" i="12" s="1"/>
  <c r="AY40" i="26" s="1"/>
  <c r="BB70" i="9"/>
  <c r="BB29" i="26" s="1"/>
  <c r="AX5" i="9"/>
  <c r="AX4" i="9"/>
  <c r="BD16" i="9"/>
  <c r="BC40" i="9"/>
  <c r="BC42" i="9" s="1"/>
  <c r="BC48" i="9"/>
  <c r="BC50" i="9" s="1"/>
  <c r="AY6" i="9"/>
  <c r="AZ7" i="9"/>
  <c r="BC11" i="12" l="1"/>
  <c r="BC11" i="26"/>
  <c r="BC12" i="26" s="1"/>
  <c r="AY45" i="26"/>
  <c r="BB30" i="26"/>
  <c r="AW162" i="12"/>
  <c r="AX162" i="12" s="1"/>
  <c r="BA174" i="12"/>
  <c r="BA63" i="26"/>
  <c r="BA83" i="26" s="1"/>
  <c r="AZ85" i="26"/>
  <c r="BA84" i="26"/>
  <c r="BA29" i="12"/>
  <c r="BA155" i="12" s="1"/>
  <c r="BA23" i="26"/>
  <c r="BA65" i="26" s="1"/>
  <c r="AW71" i="26"/>
  <c r="AX71" i="26" s="1"/>
  <c r="BA35" i="26"/>
  <c r="AY114" i="12"/>
  <c r="AY116" i="12" s="1"/>
  <c r="AY124" i="12" s="1"/>
  <c r="AY125" i="12" s="1"/>
  <c r="AZ123" i="12" s="1"/>
  <c r="AW206" i="12"/>
  <c r="AW209" i="12" s="1"/>
  <c r="AW212" i="12" s="1"/>
  <c r="AW188" i="12"/>
  <c r="AW190" i="12" s="1"/>
  <c r="AX187" i="12" s="1"/>
  <c r="AX190" i="12" s="1"/>
  <c r="AY187" i="12" s="1"/>
  <c r="AZ68" i="12"/>
  <c r="AZ70" i="12" s="1"/>
  <c r="BA176" i="12"/>
  <c r="BC60" i="12"/>
  <c r="BC12" i="12"/>
  <c r="BA175" i="12"/>
  <c r="BA157" i="12"/>
  <c r="BA77" i="12"/>
  <c r="BA78" i="12" s="1"/>
  <c r="BA99" i="12" s="1"/>
  <c r="BA66" i="12"/>
  <c r="BB74" i="9"/>
  <c r="BB76" i="9" s="1"/>
  <c r="BB23" i="26" s="1"/>
  <c r="BB35" i="12"/>
  <c r="AZ101" i="12"/>
  <c r="AZ100" i="12"/>
  <c r="BA173" i="12"/>
  <c r="BB72" i="9"/>
  <c r="BD18" i="9"/>
  <c r="BD19" i="9" s="1"/>
  <c r="AY5" i="9"/>
  <c r="AY4" i="9"/>
  <c r="BC68" i="9"/>
  <c r="BC70" i="9" s="1"/>
  <c r="BC62" i="9"/>
  <c r="BC64" i="9" s="1"/>
  <c r="BC20" i="26" s="1"/>
  <c r="BC21" i="26" s="1"/>
  <c r="BA7" i="9"/>
  <c r="AZ6" i="9"/>
  <c r="BB65" i="26" l="1"/>
  <c r="BA85" i="26"/>
  <c r="BC35" i="12"/>
  <c r="BC29" i="26"/>
  <c r="BC30" i="26" s="1"/>
  <c r="BA66" i="26"/>
  <c r="BB23" i="12"/>
  <c r="BB147" i="12" s="1"/>
  <c r="BB149" i="12" s="1"/>
  <c r="BB17" i="26"/>
  <c r="AY127" i="12"/>
  <c r="AY117" i="12"/>
  <c r="BB40" i="12"/>
  <c r="BB43" i="12" s="1"/>
  <c r="BB32" i="26" s="1"/>
  <c r="BB34" i="26" s="1"/>
  <c r="BB82" i="12"/>
  <c r="BB110" i="12" s="1"/>
  <c r="BB38" i="26" s="1"/>
  <c r="BC40" i="12"/>
  <c r="BC43" i="12" s="1"/>
  <c r="BC32" i="26" s="1"/>
  <c r="BC82" i="12"/>
  <c r="BC110" i="12" s="1"/>
  <c r="BC38" i="26" s="1"/>
  <c r="BL69" i="12"/>
  <c r="AZ71" i="12"/>
  <c r="AZ72" i="12" s="1"/>
  <c r="AZ109" i="12" s="1"/>
  <c r="AZ37" i="26" s="1"/>
  <c r="BA68" i="12"/>
  <c r="BA70" i="12" s="1"/>
  <c r="AZ102" i="12"/>
  <c r="AZ112" i="12" s="1"/>
  <c r="AZ40" i="26" s="1"/>
  <c r="BC75" i="9"/>
  <c r="BC26" i="12"/>
  <c r="BB77" i="9"/>
  <c r="BB29" i="12"/>
  <c r="BB155" i="12" s="1"/>
  <c r="BB139" i="12"/>
  <c r="BB141" i="12" s="1"/>
  <c r="BB58" i="26" s="1"/>
  <c r="BB64" i="12"/>
  <c r="BB151" i="12"/>
  <c r="BB153" i="12" s="1"/>
  <c r="BB64" i="26" s="1"/>
  <c r="BB24" i="12"/>
  <c r="BC36" i="12"/>
  <c r="BB36" i="12"/>
  <c r="BB106" i="12"/>
  <c r="BB113" i="12" s="1"/>
  <c r="BB41" i="26" s="1"/>
  <c r="BC106" i="12"/>
  <c r="BC113" i="12" s="1"/>
  <c r="BC41" i="26" s="1"/>
  <c r="BC76" i="12"/>
  <c r="BC62" i="12"/>
  <c r="BA101" i="12"/>
  <c r="BA100" i="12"/>
  <c r="BD40" i="9"/>
  <c r="BD42" i="9" s="1"/>
  <c r="BD48" i="9"/>
  <c r="BD50" i="9" s="1"/>
  <c r="BE16" i="9"/>
  <c r="BC74" i="9"/>
  <c r="BC72" i="9"/>
  <c r="AZ5" i="9"/>
  <c r="AZ4" i="9"/>
  <c r="BA6" i="9"/>
  <c r="BB7" i="9"/>
  <c r="BB18" i="26" l="1"/>
  <c r="BC34" i="26"/>
  <c r="AY129" i="12"/>
  <c r="AY131" i="12" s="1"/>
  <c r="AY47" i="26"/>
  <c r="AY49" i="26" s="1"/>
  <c r="AY51" i="26" s="1"/>
  <c r="BB174" i="12"/>
  <c r="BB63" i="26"/>
  <c r="BB83" i="26" s="1"/>
  <c r="BD11" i="12"/>
  <c r="BD12" i="12" s="1"/>
  <c r="BD11" i="26"/>
  <c r="BD12" i="26" s="1"/>
  <c r="BB82" i="26"/>
  <c r="AZ42" i="26"/>
  <c r="AZ44" i="26" s="1"/>
  <c r="BC23" i="12"/>
  <c r="BC147" i="12" s="1"/>
  <c r="BC149" i="12" s="1"/>
  <c r="BC17" i="26"/>
  <c r="BC18" i="26" s="1"/>
  <c r="BB84" i="26"/>
  <c r="BB66" i="26"/>
  <c r="BB35" i="26"/>
  <c r="BB85" i="26"/>
  <c r="BC24" i="12"/>
  <c r="AZ114" i="12"/>
  <c r="AZ116" i="12" s="1"/>
  <c r="AZ117" i="12" s="1"/>
  <c r="BM69" i="12"/>
  <c r="BA71" i="12"/>
  <c r="BA72" i="12" s="1"/>
  <c r="BA109" i="12" s="1"/>
  <c r="BA37" i="26" s="1"/>
  <c r="BC45" i="12"/>
  <c r="BC46" i="12" s="1"/>
  <c r="BC76" i="9"/>
  <c r="BB173" i="12"/>
  <c r="BB176" i="12"/>
  <c r="BA102" i="12"/>
  <c r="BA112" i="12" s="1"/>
  <c r="BA40" i="26" s="1"/>
  <c r="BB45" i="12"/>
  <c r="BC139" i="12"/>
  <c r="BC141" i="12" s="1"/>
  <c r="BC64" i="12"/>
  <c r="BB175" i="12"/>
  <c r="BB157" i="12"/>
  <c r="BC27" i="12"/>
  <c r="BC29" i="12"/>
  <c r="BC155" i="12" s="1"/>
  <c r="BB77" i="12"/>
  <c r="BB78" i="12" s="1"/>
  <c r="BB99" i="12" s="1"/>
  <c r="BB66" i="12"/>
  <c r="BA5" i="9"/>
  <c r="BA4" i="9"/>
  <c r="BE18" i="9"/>
  <c r="BE19" i="9" s="1"/>
  <c r="BD62" i="9"/>
  <c r="BD64" i="9" s="1"/>
  <c r="BD20" i="26" s="1"/>
  <c r="BD21" i="26" s="1"/>
  <c r="BD68" i="9"/>
  <c r="BD70" i="9" s="1"/>
  <c r="BB6" i="9"/>
  <c r="Q18" i="11" s="1"/>
  <c r="BC7" i="9"/>
  <c r="Q15" i="11" l="1"/>
  <c r="BC174" i="12"/>
  <c r="BC63" i="26"/>
  <c r="BC83" i="26" s="1"/>
  <c r="BD60" i="12"/>
  <c r="BC173" i="12"/>
  <c r="BC58" i="26"/>
  <c r="BC82" i="26" s="1"/>
  <c r="BD35" i="12"/>
  <c r="BD29" i="26"/>
  <c r="BD30" i="26" s="1"/>
  <c r="BC77" i="9"/>
  <c r="BC23" i="26"/>
  <c r="BC65" i="26" s="1"/>
  <c r="AY81" i="26"/>
  <c r="AY86" i="26" s="1"/>
  <c r="AY108" i="26" s="1"/>
  <c r="AY111" i="26" s="1"/>
  <c r="AY114" i="26" s="1"/>
  <c r="AY71" i="26"/>
  <c r="AZ45" i="26"/>
  <c r="AY172" i="12"/>
  <c r="AY177" i="12" s="1"/>
  <c r="AY162" i="12"/>
  <c r="J21" i="11"/>
  <c r="BC151" i="12"/>
  <c r="BC153" i="12" s="1"/>
  <c r="BC64" i="26" s="1"/>
  <c r="BA42" i="26"/>
  <c r="BA44" i="26" s="1"/>
  <c r="BC35" i="26"/>
  <c r="AZ127" i="12"/>
  <c r="AZ124" i="12"/>
  <c r="AZ125" i="12" s="1"/>
  <c r="BA123" i="12" s="1"/>
  <c r="BA114" i="12"/>
  <c r="BA116" i="12" s="1"/>
  <c r="BA124" i="12" s="1"/>
  <c r="BD40" i="12"/>
  <c r="BD43" i="12" s="1"/>
  <c r="BD32" i="26" s="1"/>
  <c r="BD34" i="26" s="1"/>
  <c r="BD82" i="12"/>
  <c r="BD110" i="12" s="1"/>
  <c r="BD38" i="26" s="1"/>
  <c r="BB68" i="12"/>
  <c r="BB70" i="12" s="1"/>
  <c r="BC176" i="12"/>
  <c r="BD75" i="9"/>
  <c r="BD26" i="12"/>
  <c r="BD27" i="12" s="1"/>
  <c r="BD76" i="12"/>
  <c r="BD62" i="12"/>
  <c r="BD106" i="12"/>
  <c r="BD113" i="12" s="1"/>
  <c r="BD41" i="26" s="1"/>
  <c r="BD36" i="12"/>
  <c r="BB100" i="12"/>
  <c r="BB101" i="12"/>
  <c r="BC77" i="12"/>
  <c r="BC78" i="12" s="1"/>
  <c r="BC99" i="12" s="1"/>
  <c r="BC66" i="12"/>
  <c r="BC175" i="12"/>
  <c r="BC157" i="12"/>
  <c r="BB46" i="12"/>
  <c r="BB5" i="9"/>
  <c r="BB4" i="9"/>
  <c r="BF16" i="9"/>
  <c r="BF18" i="9" s="1"/>
  <c r="BF19" i="9" s="1"/>
  <c r="BE40" i="9"/>
  <c r="BE42" i="9" s="1"/>
  <c r="BE48" i="9"/>
  <c r="BE50" i="9" s="1"/>
  <c r="BD74" i="9"/>
  <c r="BD72" i="9"/>
  <c r="BC6" i="9"/>
  <c r="BD7" i="9"/>
  <c r="BE11" i="12" l="1"/>
  <c r="BE11" i="26"/>
  <c r="BE12" i="26" s="1"/>
  <c r="BC85" i="26"/>
  <c r="BD23" i="12"/>
  <c r="BD147" i="12" s="1"/>
  <c r="BD149" i="12" s="1"/>
  <c r="BD17" i="26"/>
  <c r="BD18" i="26" s="1"/>
  <c r="BD35" i="26"/>
  <c r="BA45" i="26"/>
  <c r="AY188" i="12"/>
  <c r="AY190" i="12" s="1"/>
  <c r="AZ187" i="12" s="1"/>
  <c r="AY206" i="12"/>
  <c r="AY209" i="12" s="1"/>
  <c r="AY212" i="12" s="1"/>
  <c r="AZ129" i="12"/>
  <c r="AZ131" i="12" s="1"/>
  <c r="AZ172" i="12" s="1"/>
  <c r="AZ177" i="12" s="1"/>
  <c r="AZ206" i="12" s="1"/>
  <c r="AZ209" i="12" s="1"/>
  <c r="AZ212" i="12" s="1"/>
  <c r="AZ47" i="26"/>
  <c r="AZ49" i="26" s="1"/>
  <c r="AZ51" i="26" s="1"/>
  <c r="AZ81" i="26" s="1"/>
  <c r="AZ86" i="26" s="1"/>
  <c r="AZ108" i="26" s="1"/>
  <c r="AZ111" i="26" s="1"/>
  <c r="AZ114" i="26" s="1"/>
  <c r="BC84" i="26"/>
  <c r="BC66" i="26"/>
  <c r="AZ162" i="12"/>
  <c r="AZ188" i="12"/>
  <c r="BA127" i="12"/>
  <c r="BA117" i="12"/>
  <c r="BA125" i="12"/>
  <c r="BB123" i="12" s="1"/>
  <c r="BN69" i="12"/>
  <c r="BB71" i="12"/>
  <c r="BB72" i="12" s="1"/>
  <c r="BB109" i="12" s="1"/>
  <c r="BB37" i="26" s="1"/>
  <c r="BB42" i="26" s="1"/>
  <c r="BB44" i="26" s="1"/>
  <c r="BC68" i="12"/>
  <c r="BC70" i="12" s="1"/>
  <c r="BD76" i="9"/>
  <c r="BB102" i="12"/>
  <c r="BB112" i="12" s="1"/>
  <c r="BB40" i="26" s="1"/>
  <c r="BD45" i="12"/>
  <c r="BD46" i="12" s="1"/>
  <c r="BC101" i="12"/>
  <c r="BC100" i="12"/>
  <c r="BE12" i="12"/>
  <c r="BE60" i="12"/>
  <c r="BD24" i="12"/>
  <c r="BD139" i="12"/>
  <c r="BD141" i="12" s="1"/>
  <c r="BD58" i="26" s="1"/>
  <c r="BD151" i="12"/>
  <c r="BD153" i="12" s="1"/>
  <c r="BD64" i="26" s="1"/>
  <c r="BD64" i="12"/>
  <c r="BC4" i="9"/>
  <c r="BC5" i="9"/>
  <c r="BD6" i="9"/>
  <c r="BE7" i="9"/>
  <c r="BE68" i="9"/>
  <c r="BE70" i="9" s="1"/>
  <c r="BE62" i="9"/>
  <c r="BE64" i="9" s="1"/>
  <c r="BE20" i="26" s="1"/>
  <c r="BE21" i="26" s="1"/>
  <c r="BF48" i="9"/>
  <c r="BF50" i="9" s="1"/>
  <c r="BF40" i="9"/>
  <c r="BF42" i="9" s="1"/>
  <c r="BG16" i="9"/>
  <c r="BG18" i="9" s="1"/>
  <c r="BG19" i="9" s="1"/>
  <c r="BF11" i="12" l="1"/>
  <c r="BF11" i="26"/>
  <c r="BB45" i="26"/>
  <c r="BA129" i="12"/>
  <c r="BA131" i="12" s="1"/>
  <c r="BA172" i="12" s="1"/>
  <c r="BA177" i="12" s="1"/>
  <c r="BA188" i="12" s="1"/>
  <c r="BA47" i="26"/>
  <c r="BA49" i="26" s="1"/>
  <c r="BA51" i="26" s="1"/>
  <c r="BA81" i="26" s="1"/>
  <c r="BA86" i="26" s="1"/>
  <c r="BA108" i="26" s="1"/>
  <c r="BA111" i="26" s="1"/>
  <c r="BA114" i="26" s="1"/>
  <c r="AZ190" i="12"/>
  <c r="BA187" i="12" s="1"/>
  <c r="AZ71" i="26"/>
  <c r="BA71" i="26" s="1"/>
  <c r="BD84" i="26"/>
  <c r="BD82" i="26"/>
  <c r="BD77" i="9"/>
  <c r="BD23" i="26"/>
  <c r="BD65" i="26" s="1"/>
  <c r="BE35" i="12"/>
  <c r="BE82" i="12" s="1"/>
  <c r="BE110" i="12" s="1"/>
  <c r="BE38" i="26" s="1"/>
  <c r="BE29" i="26"/>
  <c r="BE30" i="26" s="1"/>
  <c r="BD174" i="12"/>
  <c r="BD63" i="26"/>
  <c r="BD83" i="26" s="1"/>
  <c r="BA190" i="12"/>
  <c r="BB187" i="12" s="1"/>
  <c r="BA162" i="12"/>
  <c r="BA206" i="12"/>
  <c r="BA209" i="12" s="1"/>
  <c r="BA212" i="12" s="1"/>
  <c r="BB114" i="12"/>
  <c r="BB116" i="12" s="1"/>
  <c r="BB117" i="12" s="1"/>
  <c r="BE40" i="12"/>
  <c r="BE43" i="12" s="1"/>
  <c r="BE32" i="26" s="1"/>
  <c r="BE34" i="26" s="1"/>
  <c r="BC71" i="12"/>
  <c r="BC72" i="12" s="1"/>
  <c r="BC109" i="12" s="1"/>
  <c r="BC37" i="26" s="1"/>
  <c r="BD29" i="12"/>
  <c r="BD155" i="12" s="1"/>
  <c r="BD157" i="12" s="1"/>
  <c r="BC102" i="12"/>
  <c r="BC112" i="12" s="1"/>
  <c r="BC40" i="26" s="1"/>
  <c r="BD175" i="12"/>
  <c r="BE75" i="9"/>
  <c r="BE26" i="12"/>
  <c r="BE27" i="12" s="1"/>
  <c r="BD173" i="12"/>
  <c r="BE76" i="12"/>
  <c r="BE62" i="12"/>
  <c r="BF60" i="12"/>
  <c r="BF12" i="12"/>
  <c r="BD77" i="12"/>
  <c r="BD78" i="12" s="1"/>
  <c r="BD99" i="12" s="1"/>
  <c r="BD66" i="12"/>
  <c r="BE106" i="12"/>
  <c r="BE113" i="12" s="1"/>
  <c r="BE41" i="26" s="1"/>
  <c r="BF7" i="9"/>
  <c r="BE6" i="9"/>
  <c r="BF62" i="9"/>
  <c r="BF64" i="9" s="1"/>
  <c r="BF20" i="26" s="1"/>
  <c r="BF68" i="9"/>
  <c r="BF70" i="9" s="1"/>
  <c r="BD4" i="9"/>
  <c r="BD5" i="9"/>
  <c r="BH16" i="9"/>
  <c r="BH18" i="9" s="1"/>
  <c r="BH19" i="9" s="1"/>
  <c r="BG48" i="9"/>
  <c r="BG50" i="9" s="1"/>
  <c r="BG40" i="9"/>
  <c r="BG42" i="9" s="1"/>
  <c r="BE74" i="9"/>
  <c r="BE72" i="9"/>
  <c r="BE35" i="26" l="1"/>
  <c r="BE23" i="12"/>
  <c r="BE147" i="12" s="1"/>
  <c r="BE149" i="12" s="1"/>
  <c r="BE17" i="26"/>
  <c r="BF21" i="26"/>
  <c r="BE36" i="12"/>
  <c r="BD85" i="26"/>
  <c r="BD66" i="26"/>
  <c r="BC42" i="26"/>
  <c r="BC44" i="26" s="1"/>
  <c r="BG12" i="26"/>
  <c r="BF12" i="26"/>
  <c r="BF35" i="12"/>
  <c r="BF40" i="12" s="1"/>
  <c r="BF43" i="12" s="1"/>
  <c r="BF32" i="26" s="1"/>
  <c r="BF34" i="26" s="1"/>
  <c r="BF29" i="26"/>
  <c r="BG11" i="12"/>
  <c r="BG60" i="12" s="1"/>
  <c r="BG76" i="12" s="1"/>
  <c r="BG11" i="26"/>
  <c r="BB127" i="12"/>
  <c r="BB124" i="12"/>
  <c r="BB125" i="12" s="1"/>
  <c r="BC123" i="12" s="1"/>
  <c r="BC114" i="12"/>
  <c r="BC116" i="12" s="1"/>
  <c r="BC127" i="12" s="1"/>
  <c r="BF82" i="12"/>
  <c r="BF110" i="12" s="1"/>
  <c r="BF38" i="26" s="1"/>
  <c r="BD68" i="12"/>
  <c r="BD70" i="12" s="1"/>
  <c r="BD176" i="12"/>
  <c r="BE45" i="12"/>
  <c r="BE46" i="12" s="1"/>
  <c r="BF36" i="12"/>
  <c r="BF106" i="12"/>
  <c r="BF113" i="12" s="1"/>
  <c r="BF41" i="26" s="1"/>
  <c r="BD101" i="12"/>
  <c r="BD100" i="12"/>
  <c r="BE24" i="12"/>
  <c r="BE151" i="12"/>
  <c r="BE153" i="12" s="1"/>
  <c r="BE64" i="26" s="1"/>
  <c r="BE139" i="12"/>
  <c r="BE141" i="12" s="1"/>
  <c r="BE58" i="26" s="1"/>
  <c r="BF75" i="9"/>
  <c r="BF26" i="12"/>
  <c r="BF27" i="12" s="1"/>
  <c r="BE76" i="9"/>
  <c r="BE23" i="26" s="1"/>
  <c r="BE65" i="26" s="1"/>
  <c r="BF76" i="12"/>
  <c r="BF62" i="12"/>
  <c r="BG62" i="9"/>
  <c r="BG64" i="9" s="1"/>
  <c r="BG20" i="26" s="1"/>
  <c r="BG21" i="26" s="1"/>
  <c r="BG68" i="9"/>
  <c r="BG70" i="9" s="1"/>
  <c r="BF74" i="9"/>
  <c r="BF72" i="9"/>
  <c r="BI16" i="9"/>
  <c r="BI18" i="9" s="1"/>
  <c r="BI19" i="9" s="1"/>
  <c r="BH40" i="9"/>
  <c r="BH42" i="9" s="1"/>
  <c r="BH48" i="9"/>
  <c r="BH50" i="9" s="1"/>
  <c r="BE4" i="9"/>
  <c r="BE5" i="9"/>
  <c r="BG7" i="9"/>
  <c r="BF6" i="9"/>
  <c r="BF35" i="26" l="1"/>
  <c r="BE85" i="26"/>
  <c r="BG62" i="12"/>
  <c r="BG12" i="12"/>
  <c r="BB129" i="12"/>
  <c r="BB131" i="12" s="1"/>
  <c r="BB172" i="12" s="1"/>
  <c r="BB177" i="12" s="1"/>
  <c r="BB206" i="12" s="1"/>
  <c r="BB209" i="12" s="1"/>
  <c r="BB212" i="12" s="1"/>
  <c r="BB47" i="26"/>
  <c r="BB49" i="26" s="1"/>
  <c r="BB51" i="26" s="1"/>
  <c r="BC51" i="26"/>
  <c r="BC81" i="26" s="1"/>
  <c r="BC86" i="26" s="1"/>
  <c r="BC108" i="26" s="1"/>
  <c r="BC111" i="26" s="1"/>
  <c r="BC114" i="26" s="1"/>
  <c r="BC45" i="26"/>
  <c r="BE174" i="12"/>
  <c r="BE63" i="26"/>
  <c r="BE83" i="26" s="1"/>
  <c r="BF23" i="12"/>
  <c r="BF147" i="12" s="1"/>
  <c r="BF149" i="12" s="1"/>
  <c r="BF17" i="26"/>
  <c r="BE64" i="12"/>
  <c r="BE82" i="26"/>
  <c r="BC129" i="12"/>
  <c r="BC131" i="12" s="1"/>
  <c r="BC172" i="12" s="1"/>
  <c r="BC177" i="12" s="1"/>
  <c r="BC206" i="12" s="1"/>
  <c r="BC209" i="12" s="1"/>
  <c r="BC212" i="12" s="1"/>
  <c r="BC47" i="26"/>
  <c r="BC49" i="26" s="1"/>
  <c r="BH11" i="12"/>
  <c r="BH12" i="12" s="1"/>
  <c r="BH11" i="26"/>
  <c r="BH12" i="26" s="1"/>
  <c r="BG35" i="12"/>
  <c r="BG82" i="12" s="1"/>
  <c r="BG110" i="12" s="1"/>
  <c r="BG38" i="26" s="1"/>
  <c r="BG29" i="26"/>
  <c r="BE84" i="26"/>
  <c r="BG30" i="26"/>
  <c r="BF30" i="26"/>
  <c r="BE18" i="26"/>
  <c r="BB188" i="12"/>
  <c r="BB190" i="12" s="1"/>
  <c r="BC187" i="12" s="1"/>
  <c r="BB162" i="12"/>
  <c r="BC162" i="12" s="1"/>
  <c r="BC124" i="12"/>
  <c r="BC125" i="12" s="1"/>
  <c r="BD123" i="12" s="1"/>
  <c r="BC188" i="12"/>
  <c r="BC117" i="12"/>
  <c r="BD71" i="12"/>
  <c r="BD72" i="12" s="1"/>
  <c r="BD109" i="12" s="1"/>
  <c r="BD37" i="26" s="1"/>
  <c r="BF76" i="9"/>
  <c r="BF23" i="26" s="1"/>
  <c r="BF65" i="26" s="1"/>
  <c r="BG36" i="12"/>
  <c r="BD102" i="12"/>
  <c r="BD112" i="12" s="1"/>
  <c r="BD40" i="26" s="1"/>
  <c r="BF24" i="12"/>
  <c r="BF64" i="12"/>
  <c r="BF151" i="12"/>
  <c r="BF153" i="12" s="1"/>
  <c r="BF64" i="26" s="1"/>
  <c r="BF45" i="12"/>
  <c r="BF46" i="12" s="1"/>
  <c r="BF29" i="12"/>
  <c r="BH60" i="12"/>
  <c r="BE77" i="12"/>
  <c r="BE78" i="12" s="1"/>
  <c r="BE99" i="12" s="1"/>
  <c r="BE66" i="12"/>
  <c r="BE77" i="9"/>
  <c r="BE29" i="12"/>
  <c r="BE155" i="12" s="1"/>
  <c r="BE175" i="12"/>
  <c r="BG106" i="12"/>
  <c r="BG113" i="12" s="1"/>
  <c r="BG41" i="26" s="1"/>
  <c r="BG75" i="9"/>
  <c r="BG26" i="12"/>
  <c r="BG27" i="12" s="1"/>
  <c r="BE173" i="12"/>
  <c r="BF5" i="9"/>
  <c r="BF4" i="9"/>
  <c r="BH62" i="9"/>
  <c r="BH64" i="9" s="1"/>
  <c r="BH20" i="26" s="1"/>
  <c r="BH21" i="26" s="1"/>
  <c r="BH68" i="9"/>
  <c r="BH70" i="9" s="1"/>
  <c r="BH7" i="9"/>
  <c r="BG6" i="9"/>
  <c r="BG72" i="9"/>
  <c r="BG74" i="9"/>
  <c r="BJ16" i="9"/>
  <c r="BI40" i="9"/>
  <c r="BI42" i="9" s="1"/>
  <c r="BI48" i="9"/>
  <c r="BI50" i="9" s="1"/>
  <c r="BF85" i="26" l="1"/>
  <c r="BD42" i="26"/>
  <c r="BD44" i="26" s="1"/>
  <c r="BB81" i="26"/>
  <c r="BB86" i="26" s="1"/>
  <c r="BB108" i="26" s="1"/>
  <c r="BB111" i="26" s="1"/>
  <c r="BB114" i="26" s="1"/>
  <c r="BB71" i="26"/>
  <c r="BC71" i="26" s="1"/>
  <c r="BI11" i="12"/>
  <c r="BI11" i="26"/>
  <c r="BI12" i="26" s="1"/>
  <c r="BF139" i="12"/>
  <c r="BF141" i="12" s="1"/>
  <c r="BF58" i="26" s="1"/>
  <c r="BG40" i="12"/>
  <c r="BG43" i="12" s="1"/>
  <c r="BG32" i="26" s="1"/>
  <c r="BG34" i="26" s="1"/>
  <c r="BG23" i="12"/>
  <c r="BG147" i="12" s="1"/>
  <c r="BG149" i="12" s="1"/>
  <c r="BG17" i="26"/>
  <c r="BG18" i="26" s="1"/>
  <c r="BF84" i="26"/>
  <c r="BH35" i="12"/>
  <c r="BH29" i="26"/>
  <c r="BH30" i="26" s="1"/>
  <c r="BF18" i="26"/>
  <c r="BE66" i="26"/>
  <c r="BF174" i="12"/>
  <c r="BF63" i="26"/>
  <c r="BF83" i="26" s="1"/>
  <c r="BF77" i="9"/>
  <c r="BC190" i="12"/>
  <c r="BD187" i="12" s="1"/>
  <c r="BD114" i="12"/>
  <c r="BD116" i="12" s="1"/>
  <c r="BD127" i="12" s="1"/>
  <c r="BH40" i="12"/>
  <c r="BH43" i="12" s="1"/>
  <c r="BH32" i="26" s="1"/>
  <c r="BH34" i="26" s="1"/>
  <c r="BH82" i="12"/>
  <c r="BH110" i="12" s="1"/>
  <c r="BH38" i="26" s="1"/>
  <c r="BE68" i="12"/>
  <c r="BE70" i="12" s="1"/>
  <c r="BG76" i="9"/>
  <c r="BH36" i="12"/>
  <c r="BH106" i="12"/>
  <c r="BH113" i="12" s="1"/>
  <c r="BH41" i="26" s="1"/>
  <c r="BE100" i="12"/>
  <c r="BE101" i="12"/>
  <c r="BF77" i="12"/>
  <c r="BF78" i="12" s="1"/>
  <c r="BF99" i="12" s="1"/>
  <c r="BF66" i="12"/>
  <c r="BG64" i="12"/>
  <c r="BG139" i="12"/>
  <c r="BG141" i="12" s="1"/>
  <c r="BG58" i="26" s="1"/>
  <c r="BG151" i="12"/>
  <c r="BG153" i="12" s="1"/>
  <c r="BG64" i="26" s="1"/>
  <c r="BH75" i="9"/>
  <c r="BH26" i="12"/>
  <c r="BH27" i="12" s="1"/>
  <c r="BE176" i="12"/>
  <c r="BF155" i="12"/>
  <c r="BF157" i="12" s="1"/>
  <c r="BE157" i="12"/>
  <c r="BH76" i="12"/>
  <c r="BH62" i="12"/>
  <c r="BI60" i="12"/>
  <c r="BI12" i="12"/>
  <c r="BF173" i="12"/>
  <c r="BF175" i="12"/>
  <c r="BG24" i="12"/>
  <c r="BI68" i="9"/>
  <c r="BI70" i="9" s="1"/>
  <c r="BI62" i="9"/>
  <c r="BI64" i="9" s="1"/>
  <c r="BI20" i="26" s="1"/>
  <c r="BI21" i="26" s="1"/>
  <c r="BG4" i="9"/>
  <c r="BG5" i="9"/>
  <c r="BJ18" i="9"/>
  <c r="BJ19" i="9" s="1"/>
  <c r="BI7" i="9"/>
  <c r="BH6" i="9"/>
  <c r="BH74" i="9"/>
  <c r="BH72" i="9"/>
  <c r="BG77" i="9" l="1"/>
  <c r="BG23" i="26"/>
  <c r="BG65" i="26" s="1"/>
  <c r="BD129" i="12"/>
  <c r="BD131" i="12" s="1"/>
  <c r="BD172" i="12" s="1"/>
  <c r="BD177" i="12" s="1"/>
  <c r="BD188" i="12" s="1"/>
  <c r="BD47" i="26"/>
  <c r="BD49" i="26" s="1"/>
  <c r="BG82" i="26"/>
  <c r="BF82" i="26"/>
  <c r="BH23" i="12"/>
  <c r="BH147" i="12" s="1"/>
  <c r="BH149" i="12" s="1"/>
  <c r="BH17" i="26"/>
  <c r="BH18" i="26" s="1"/>
  <c r="BI35" i="12"/>
  <c r="BI82" i="12" s="1"/>
  <c r="BI110" i="12" s="1"/>
  <c r="BI38" i="26" s="1"/>
  <c r="BI29" i="26"/>
  <c r="BI30" i="26" s="1"/>
  <c r="BG45" i="12"/>
  <c r="BF66" i="26"/>
  <c r="BG174" i="12"/>
  <c r="BG63" i="26"/>
  <c r="BG83" i="26" s="1"/>
  <c r="BD45" i="26"/>
  <c r="BD51" i="26"/>
  <c r="BD81" i="26" s="1"/>
  <c r="BD86" i="26" s="1"/>
  <c r="BD108" i="26" s="1"/>
  <c r="BD111" i="26" s="1"/>
  <c r="BD114" i="26" s="1"/>
  <c r="BG84" i="26"/>
  <c r="BG66" i="26"/>
  <c r="BH35" i="26"/>
  <c r="BG35" i="26"/>
  <c r="BD71" i="26"/>
  <c r="BD190" i="12"/>
  <c r="BE187" i="12" s="1"/>
  <c r="BD124" i="12"/>
  <c r="BD125" i="12" s="1"/>
  <c r="BE123" i="12" s="1"/>
  <c r="BD117" i="12"/>
  <c r="BD206" i="12"/>
  <c r="BD209" i="12" s="1"/>
  <c r="BD212" i="12" s="1"/>
  <c r="BI40" i="12"/>
  <c r="BI43" i="12" s="1"/>
  <c r="BI32" i="26" s="1"/>
  <c r="BI34" i="26" s="1"/>
  <c r="BH76" i="9"/>
  <c r="BD162" i="12"/>
  <c r="BE71" i="12"/>
  <c r="BE72" i="12" s="1"/>
  <c r="BE109" i="12" s="1"/>
  <c r="BE37" i="26" s="1"/>
  <c r="BF68" i="12"/>
  <c r="BF70" i="12" s="1"/>
  <c r="BG29" i="12"/>
  <c r="BG155" i="12" s="1"/>
  <c r="BE102" i="12"/>
  <c r="BE112" i="12" s="1"/>
  <c r="BE40" i="26" s="1"/>
  <c r="BH139" i="12"/>
  <c r="BH141" i="12" s="1"/>
  <c r="BH64" i="12"/>
  <c r="BH151" i="12"/>
  <c r="BH153" i="12" s="1"/>
  <c r="BH64" i="26" s="1"/>
  <c r="BH24" i="12"/>
  <c r="BI36" i="12"/>
  <c r="BG77" i="12"/>
  <c r="BG78" i="12" s="1"/>
  <c r="BG99" i="12" s="1"/>
  <c r="BG66" i="12"/>
  <c r="BI75" i="9"/>
  <c r="BI26" i="12"/>
  <c r="BI27" i="12" s="1"/>
  <c r="BI76" i="12"/>
  <c r="BI62" i="12"/>
  <c r="BF176" i="12"/>
  <c r="BG175" i="12"/>
  <c r="BH45" i="12"/>
  <c r="BH46" i="12" s="1"/>
  <c r="BG173" i="12"/>
  <c r="BF101" i="12"/>
  <c r="BF100" i="12"/>
  <c r="BG46" i="12"/>
  <c r="BJ40" i="9"/>
  <c r="BJ42" i="9" s="1"/>
  <c r="BK16" i="9"/>
  <c r="BK18" i="9" s="1"/>
  <c r="BK19" i="9" s="1"/>
  <c r="BJ48" i="9"/>
  <c r="BJ50" i="9" s="1"/>
  <c r="BH4" i="9"/>
  <c r="BH5" i="9"/>
  <c r="BI6" i="9"/>
  <c r="BJ7" i="9"/>
  <c r="BI74" i="9"/>
  <c r="BI72" i="9"/>
  <c r="BJ11" i="12" l="1"/>
  <c r="BJ11" i="26"/>
  <c r="BH84" i="26"/>
  <c r="BH29" i="12"/>
  <c r="BH23" i="26"/>
  <c r="BH174" i="12"/>
  <c r="BH63" i="26"/>
  <c r="BH83" i="26" s="1"/>
  <c r="BI23" i="12"/>
  <c r="BI147" i="12" s="1"/>
  <c r="BI149" i="12" s="1"/>
  <c r="BI17" i="26"/>
  <c r="BI18" i="26" s="1"/>
  <c r="BI76" i="9"/>
  <c r="BI23" i="26" s="1"/>
  <c r="BI106" i="12"/>
  <c r="BI113" i="12" s="1"/>
  <c r="BI41" i="26" s="1"/>
  <c r="BG85" i="26"/>
  <c r="BH65" i="26"/>
  <c r="BH173" i="12"/>
  <c r="BH58" i="26"/>
  <c r="BE42" i="26"/>
  <c r="BE44" i="26" s="1"/>
  <c r="BI35" i="26"/>
  <c r="BH77" i="9"/>
  <c r="BE114" i="12"/>
  <c r="BE116" i="12" s="1"/>
  <c r="BF71" i="12"/>
  <c r="BF72" i="12" s="1"/>
  <c r="BF109" i="12" s="1"/>
  <c r="BF37" i="26" s="1"/>
  <c r="BF42" i="26" s="1"/>
  <c r="BF44" i="26" s="1"/>
  <c r="BG68" i="12"/>
  <c r="BG70" i="12" s="1"/>
  <c r="BF102" i="12"/>
  <c r="BF112" i="12" s="1"/>
  <c r="BF40" i="26" s="1"/>
  <c r="BG100" i="12"/>
  <c r="BG101" i="12"/>
  <c r="BI64" i="12"/>
  <c r="BI139" i="12"/>
  <c r="BI141" i="12" s="1"/>
  <c r="BI24" i="12"/>
  <c r="BI151" i="12"/>
  <c r="BI153" i="12" s="1"/>
  <c r="BI64" i="26" s="1"/>
  <c r="BJ12" i="12"/>
  <c r="BJ60" i="12"/>
  <c r="BI45" i="12"/>
  <c r="BI46" i="12" s="1"/>
  <c r="BH175" i="12"/>
  <c r="BI29" i="12"/>
  <c r="BG176" i="12"/>
  <c r="BH155" i="12"/>
  <c r="BH77" i="12"/>
  <c r="BH78" i="12" s="1"/>
  <c r="BH99" i="12" s="1"/>
  <c r="BH66" i="12"/>
  <c r="BG157" i="12"/>
  <c r="BJ6" i="9"/>
  <c r="BK7" i="9"/>
  <c r="BJ62" i="9"/>
  <c r="BJ64" i="9" s="1"/>
  <c r="BJ20" i="26" s="1"/>
  <c r="BJ68" i="9"/>
  <c r="BJ70" i="9" s="1"/>
  <c r="BI5" i="9"/>
  <c r="BI4" i="9"/>
  <c r="BL16" i="9"/>
  <c r="BL18" i="9" s="1"/>
  <c r="BL19" i="9" s="1"/>
  <c r="BK48" i="9"/>
  <c r="BK50" i="9" s="1"/>
  <c r="BK40" i="9"/>
  <c r="BK42" i="9" s="1"/>
  <c r="BJ21" i="26" l="1"/>
  <c r="BI84" i="26"/>
  <c r="BF45" i="26"/>
  <c r="BH85" i="26"/>
  <c r="BI65" i="26"/>
  <c r="BI66" i="26" s="1"/>
  <c r="BE45" i="26"/>
  <c r="BK11" i="12"/>
  <c r="BK60" i="12" s="1"/>
  <c r="BK76" i="12" s="1"/>
  <c r="BK11" i="26"/>
  <c r="BK12" i="26" s="1"/>
  <c r="BJ35" i="12"/>
  <c r="BJ40" i="12" s="1"/>
  <c r="BJ43" i="12" s="1"/>
  <c r="BJ32" i="26" s="1"/>
  <c r="BJ34" i="26" s="1"/>
  <c r="BJ29" i="26"/>
  <c r="BI173" i="12"/>
  <c r="BI58" i="26"/>
  <c r="BI77" i="9"/>
  <c r="BH82" i="26"/>
  <c r="BI82" i="26"/>
  <c r="BI174" i="12"/>
  <c r="BI63" i="26"/>
  <c r="BI83" i="26" s="1"/>
  <c r="BJ12" i="26"/>
  <c r="BH66" i="26"/>
  <c r="BF114" i="12"/>
  <c r="BF116" i="12" s="1"/>
  <c r="BF124" i="12" s="1"/>
  <c r="BJ82" i="12"/>
  <c r="BJ110" i="12" s="1"/>
  <c r="BJ38" i="26" s="1"/>
  <c r="BE124" i="12"/>
  <c r="BE125" i="12" s="1"/>
  <c r="BF123" i="12" s="1"/>
  <c r="BE127" i="12"/>
  <c r="BE117" i="12"/>
  <c r="BG71" i="12"/>
  <c r="BG72" i="12" s="1"/>
  <c r="BG109" i="12" s="1"/>
  <c r="BG37" i="26" s="1"/>
  <c r="BG42" i="26" s="1"/>
  <c r="BG44" i="26" s="1"/>
  <c r="BH68" i="12"/>
  <c r="BH70" i="12" s="1"/>
  <c r="BJ75" i="9"/>
  <c r="BJ26" i="12"/>
  <c r="BJ27" i="12" s="1"/>
  <c r="BH176" i="12"/>
  <c r="BI155" i="12"/>
  <c r="BI157" i="12" s="1"/>
  <c r="BH157" i="12"/>
  <c r="BI175" i="12"/>
  <c r="BI77" i="12"/>
  <c r="BI78" i="12" s="1"/>
  <c r="BI99" i="12" s="1"/>
  <c r="BI66" i="12"/>
  <c r="BK62" i="12"/>
  <c r="BJ36" i="12"/>
  <c r="BJ106" i="12"/>
  <c r="BJ113" i="12" s="1"/>
  <c r="BJ41" i="26" s="1"/>
  <c r="BH100" i="12"/>
  <c r="BH101" i="12"/>
  <c r="BJ76" i="12"/>
  <c r="BJ62" i="12"/>
  <c r="BG102" i="12"/>
  <c r="BG112" i="12" s="1"/>
  <c r="BG40" i="26" s="1"/>
  <c r="BK68" i="9"/>
  <c r="BK70" i="9" s="1"/>
  <c r="BK62" i="9"/>
  <c r="BK64" i="9" s="1"/>
  <c r="BK20" i="26" s="1"/>
  <c r="BK21" i="26" s="1"/>
  <c r="BJ74" i="9"/>
  <c r="BJ72" i="9"/>
  <c r="BL7" i="9"/>
  <c r="BK6" i="9"/>
  <c r="BL48" i="9"/>
  <c r="BL50" i="9" s="1"/>
  <c r="BL40" i="9"/>
  <c r="BL42" i="9" s="1"/>
  <c r="BM16" i="9"/>
  <c r="BJ4" i="9"/>
  <c r="BJ5" i="9"/>
  <c r="BJ35" i="26" l="1"/>
  <c r="BL11" i="12"/>
  <c r="BL11" i="26"/>
  <c r="BL12" i="26" s="1"/>
  <c r="BJ23" i="12"/>
  <c r="BJ147" i="12" s="1"/>
  <c r="BJ149" i="12" s="1"/>
  <c r="BJ17" i="26"/>
  <c r="BJ30" i="26"/>
  <c r="BK35" i="12"/>
  <c r="BK82" i="12" s="1"/>
  <c r="BK110" i="12" s="1"/>
  <c r="BK38" i="26" s="1"/>
  <c r="BK29" i="26"/>
  <c r="BK30" i="26" s="1"/>
  <c r="BK12" i="12"/>
  <c r="BE129" i="12"/>
  <c r="BE131" i="12" s="1"/>
  <c r="BE47" i="26"/>
  <c r="BE49" i="26" s="1"/>
  <c r="BE51" i="26" s="1"/>
  <c r="BG45" i="26"/>
  <c r="BI85" i="26"/>
  <c r="BF117" i="12"/>
  <c r="BF127" i="12"/>
  <c r="BF125" i="12"/>
  <c r="BG123" i="12" s="1"/>
  <c r="BG114" i="12"/>
  <c r="BG116" i="12" s="1"/>
  <c r="BG127" i="12" s="1"/>
  <c r="BE172" i="12"/>
  <c r="BE177" i="12" s="1"/>
  <c r="BE162" i="12"/>
  <c r="BH71" i="12"/>
  <c r="BH72" i="12" s="1"/>
  <c r="BH109" i="12" s="1"/>
  <c r="BH37" i="26" s="1"/>
  <c r="BI68" i="12"/>
  <c r="BI70" i="12" s="1"/>
  <c r="BJ76" i="9"/>
  <c r="BK36" i="12"/>
  <c r="BK40" i="12"/>
  <c r="BK43" i="12" s="1"/>
  <c r="BK32" i="26" s="1"/>
  <c r="BK34" i="26" s="1"/>
  <c r="BJ139" i="12"/>
  <c r="BJ141" i="12" s="1"/>
  <c r="BJ58" i="26" s="1"/>
  <c r="BJ151" i="12"/>
  <c r="BJ153" i="12" s="1"/>
  <c r="BJ64" i="26" s="1"/>
  <c r="BJ64" i="12"/>
  <c r="BJ24" i="12"/>
  <c r="BI101" i="12"/>
  <c r="BI100" i="12"/>
  <c r="BH102" i="12"/>
  <c r="BH112" i="12" s="1"/>
  <c r="BH40" i="26" s="1"/>
  <c r="BL12" i="12"/>
  <c r="BL60" i="12"/>
  <c r="BK75" i="9"/>
  <c r="BK26" i="12"/>
  <c r="BK27" i="12" s="1"/>
  <c r="BI176" i="12"/>
  <c r="BK106" i="12"/>
  <c r="BK113" i="12" s="1"/>
  <c r="BK41" i="26" s="1"/>
  <c r="BJ45" i="12"/>
  <c r="BJ46" i="12" s="1"/>
  <c r="BL62" i="9"/>
  <c r="BL64" i="9" s="1"/>
  <c r="BL20" i="26" s="1"/>
  <c r="BL21" i="26" s="1"/>
  <c r="BL68" i="9"/>
  <c r="BL70" i="9" s="1"/>
  <c r="BK5" i="9"/>
  <c r="BK4" i="9"/>
  <c r="BM18" i="9"/>
  <c r="BM19" i="9" s="1"/>
  <c r="BM7" i="9"/>
  <c r="BL6" i="9"/>
  <c r="BK72" i="9"/>
  <c r="BK74" i="9"/>
  <c r="BK23" i="12" l="1"/>
  <c r="BK147" i="12" s="1"/>
  <c r="BK149" i="12" s="1"/>
  <c r="BK17" i="26"/>
  <c r="BJ84" i="26"/>
  <c r="BJ29" i="12"/>
  <c r="BJ155" i="12" s="1"/>
  <c r="BJ23" i="26"/>
  <c r="BJ65" i="26" s="1"/>
  <c r="BG129" i="12"/>
  <c r="BG131" i="12" s="1"/>
  <c r="BG172" i="12" s="1"/>
  <c r="BG177" i="12" s="1"/>
  <c r="BG206" i="12" s="1"/>
  <c r="BG209" i="12" s="1"/>
  <c r="BG212" i="12" s="1"/>
  <c r="BG47" i="26"/>
  <c r="BG49" i="26" s="1"/>
  <c r="BG51" i="26" s="1"/>
  <c r="BG81" i="26" s="1"/>
  <c r="BG86" i="26" s="1"/>
  <c r="BG108" i="26" s="1"/>
  <c r="BG111" i="26" s="1"/>
  <c r="BG114" i="26" s="1"/>
  <c r="BJ82" i="26"/>
  <c r="BK35" i="26"/>
  <c r="BH42" i="26"/>
  <c r="BH44" i="26" s="1"/>
  <c r="BE81" i="26"/>
  <c r="BE86" i="26" s="1"/>
  <c r="BE108" i="26" s="1"/>
  <c r="BE111" i="26" s="1"/>
  <c r="BE114" i="26" s="1"/>
  <c r="BE71" i="26"/>
  <c r="BK18" i="26"/>
  <c r="BJ18" i="26"/>
  <c r="BL35" i="12"/>
  <c r="BL40" i="12" s="1"/>
  <c r="BL43" i="12" s="1"/>
  <c r="BL32" i="26" s="1"/>
  <c r="BL34" i="26" s="1"/>
  <c r="BL29" i="26"/>
  <c r="BL30" i="26" s="1"/>
  <c r="BF129" i="12"/>
  <c r="BF131" i="12" s="1"/>
  <c r="BF172" i="12" s="1"/>
  <c r="BF177" i="12" s="1"/>
  <c r="BF206" i="12" s="1"/>
  <c r="BF209" i="12" s="1"/>
  <c r="BF212" i="12" s="1"/>
  <c r="BF47" i="26"/>
  <c r="BF49" i="26" s="1"/>
  <c r="BF51" i="26" s="1"/>
  <c r="BF81" i="26" s="1"/>
  <c r="BF86" i="26" s="1"/>
  <c r="BF108" i="26" s="1"/>
  <c r="BF111" i="26" s="1"/>
  <c r="BF114" i="26" s="1"/>
  <c r="BJ174" i="12"/>
  <c r="BJ63" i="26"/>
  <c r="BJ83" i="26" s="1"/>
  <c r="BH114" i="12"/>
  <c r="BH116" i="12" s="1"/>
  <c r="BH127" i="12" s="1"/>
  <c r="BJ77" i="9"/>
  <c r="BG117" i="12"/>
  <c r="BG124" i="12"/>
  <c r="BG125" i="12" s="1"/>
  <c r="BH123" i="12" s="1"/>
  <c r="BL82" i="12"/>
  <c r="BL110" i="12" s="1"/>
  <c r="BL38" i="26" s="1"/>
  <c r="BE188" i="12"/>
  <c r="BE190" i="12" s="1"/>
  <c r="BF187" i="12" s="1"/>
  <c r="BE206" i="12"/>
  <c r="BE209" i="12" s="1"/>
  <c r="BE212" i="12" s="1"/>
  <c r="BI71" i="12"/>
  <c r="BI72" i="12" s="1"/>
  <c r="BI109" i="12" s="1"/>
  <c r="BI37" i="26" s="1"/>
  <c r="BI42" i="26" s="1"/>
  <c r="BI44" i="26" s="1"/>
  <c r="BK76" i="9"/>
  <c r="BK45" i="12"/>
  <c r="BK46" i="12" s="1"/>
  <c r="BL36" i="12"/>
  <c r="BL106" i="12"/>
  <c r="BL113" i="12" s="1"/>
  <c r="BL41" i="26" s="1"/>
  <c r="BJ77" i="12"/>
  <c r="BJ78" i="12" s="1"/>
  <c r="BJ99" i="12" s="1"/>
  <c r="BJ66" i="12"/>
  <c r="BL75" i="9"/>
  <c r="BL26" i="12"/>
  <c r="BL27" i="12" s="1"/>
  <c r="BJ176" i="12"/>
  <c r="BJ175" i="12"/>
  <c r="BJ157" i="12"/>
  <c r="BK64" i="12"/>
  <c r="BK139" i="12"/>
  <c r="BK141" i="12" s="1"/>
  <c r="BK58" i="26" s="1"/>
  <c r="BK82" i="26" s="1"/>
  <c r="BK151" i="12"/>
  <c r="BK153" i="12" s="1"/>
  <c r="BK64" i="26" s="1"/>
  <c r="BL76" i="12"/>
  <c r="BL62" i="12"/>
  <c r="BJ173" i="12"/>
  <c r="BI102" i="12"/>
  <c r="BI112" i="12" s="1"/>
  <c r="BI40" i="26" s="1"/>
  <c r="BK24" i="12"/>
  <c r="BM6" i="9"/>
  <c r="BN7" i="9"/>
  <c r="BN6" i="9" s="1"/>
  <c r="BN16" i="9"/>
  <c r="BM40" i="9"/>
  <c r="BM42" i="9" s="1"/>
  <c r="BM48" i="9"/>
  <c r="BM50" i="9" s="1"/>
  <c r="BL74" i="9"/>
  <c r="BL72" i="9"/>
  <c r="BL5" i="9"/>
  <c r="BL4" i="9"/>
  <c r="BL35" i="26" l="1"/>
  <c r="BI45" i="26"/>
  <c r="BJ66" i="26"/>
  <c r="BM11" i="12"/>
  <c r="BM11" i="26"/>
  <c r="BG188" i="12"/>
  <c r="BH129" i="12"/>
  <c r="BH131" i="12" s="1"/>
  <c r="BH172" i="12" s="1"/>
  <c r="BH177" i="12" s="1"/>
  <c r="BH188" i="12" s="1"/>
  <c r="BH47" i="26"/>
  <c r="BH49" i="26" s="1"/>
  <c r="BH51" i="26" s="1"/>
  <c r="BH81" i="26" s="1"/>
  <c r="BH86" i="26" s="1"/>
  <c r="BH108" i="26" s="1"/>
  <c r="BH111" i="26" s="1"/>
  <c r="BH114" i="26" s="1"/>
  <c r="BF71" i="26"/>
  <c r="BG71" i="26" s="1"/>
  <c r="BL23" i="12"/>
  <c r="BL147" i="12" s="1"/>
  <c r="BL149" i="12" s="1"/>
  <c r="BL17" i="26"/>
  <c r="BL18" i="26" s="1"/>
  <c r="BK84" i="26"/>
  <c r="BF188" i="12"/>
  <c r="BK65" i="26"/>
  <c r="BJ85" i="26"/>
  <c r="U18" i="11"/>
  <c r="U15" i="11" s="1"/>
  <c r="W18" i="11"/>
  <c r="O12" i="11"/>
  <c r="O18" i="11"/>
  <c r="G21" i="11"/>
  <c r="N12" i="11"/>
  <c r="U12" i="11"/>
  <c r="N18" i="11"/>
  <c r="V18" i="11"/>
  <c r="W12" i="11"/>
  <c r="H21" i="11"/>
  <c r="V12" i="11"/>
  <c r="X18" i="11"/>
  <c r="X12" i="11"/>
  <c r="X13" i="11" s="1"/>
  <c r="Y12" i="11"/>
  <c r="Y18" i="11"/>
  <c r="P12" i="11"/>
  <c r="P18" i="11"/>
  <c r="I21" i="11"/>
  <c r="Q12" i="11"/>
  <c r="BK29" i="12"/>
  <c r="BK155" i="12" s="1"/>
  <c r="BK157" i="12" s="1"/>
  <c r="BK23" i="26"/>
  <c r="BF162" i="12"/>
  <c r="BG162" i="12" s="1"/>
  <c r="BH162" i="12" s="1"/>
  <c r="BH45" i="26"/>
  <c r="BK174" i="12"/>
  <c r="BK63" i="26"/>
  <c r="BK83" i="26" s="1"/>
  <c r="BF190" i="12"/>
  <c r="BG187" i="12" s="1"/>
  <c r="BG190" i="12" s="1"/>
  <c r="BH187" i="12" s="1"/>
  <c r="BH190" i="12" s="1"/>
  <c r="BI187" i="12" s="1"/>
  <c r="BH117" i="12"/>
  <c r="BH124" i="12"/>
  <c r="BH125" i="12" s="1"/>
  <c r="BI123" i="12" s="1"/>
  <c r="BI114" i="12"/>
  <c r="BI116" i="12" s="1"/>
  <c r="BI124" i="12" s="1"/>
  <c r="BK77" i="9"/>
  <c r="BH206" i="12"/>
  <c r="BH209" i="12" s="1"/>
  <c r="BH212" i="12" s="1"/>
  <c r="BL76" i="9"/>
  <c r="BJ68" i="12"/>
  <c r="BJ70" i="12" s="1"/>
  <c r="BL45" i="12"/>
  <c r="BL46" i="12" s="1"/>
  <c r="BK77" i="12"/>
  <c r="BK78" i="12" s="1"/>
  <c r="BK99" i="12" s="1"/>
  <c r="BK66" i="12"/>
  <c r="BJ101" i="12"/>
  <c r="BJ100" i="12"/>
  <c r="BL64" i="12"/>
  <c r="BK173" i="12"/>
  <c r="BM12" i="12"/>
  <c r="BM60" i="12"/>
  <c r="BK175" i="12"/>
  <c r="BM62" i="9"/>
  <c r="BM64" i="9" s="1"/>
  <c r="BM20" i="26" s="1"/>
  <c r="BM21" i="26" s="1"/>
  <c r="BM68" i="9"/>
  <c r="BM70" i="9" s="1"/>
  <c r="BN18" i="9"/>
  <c r="BN19" i="9" s="1"/>
  <c r="R12" i="11" s="1"/>
  <c r="BN4" i="9"/>
  <c r="BN5" i="9"/>
  <c r="BM4" i="9"/>
  <c r="BM5" i="9"/>
  <c r="Y13" i="11" l="1"/>
  <c r="V15" i="11"/>
  <c r="V16" i="11" s="1"/>
  <c r="V19" i="11"/>
  <c r="BL174" i="12"/>
  <c r="BL63" i="26"/>
  <c r="BL83" i="26" s="1"/>
  <c r="BL139" i="12"/>
  <c r="BL141" i="12" s="1"/>
  <c r="BL29" i="12"/>
  <c r="BL155" i="12" s="1"/>
  <c r="BL23" i="26"/>
  <c r="J12" i="11"/>
  <c r="Q13" i="11"/>
  <c r="Y15" i="11"/>
  <c r="Y19" i="11"/>
  <c r="V13" i="11"/>
  <c r="G18" i="11"/>
  <c r="N15" i="11"/>
  <c r="G15" i="11" s="1"/>
  <c r="O19" i="11"/>
  <c r="O15" i="11"/>
  <c r="H18" i="11"/>
  <c r="BK66" i="26"/>
  <c r="BH71" i="26"/>
  <c r="BM12" i="26"/>
  <c r="I12" i="11"/>
  <c r="P13" i="11"/>
  <c r="BK176" i="12"/>
  <c r="H22" i="11"/>
  <c r="O13" i="11"/>
  <c r="H12" i="11"/>
  <c r="BL65" i="26"/>
  <c r="BK85" i="26"/>
  <c r="X15" i="11"/>
  <c r="X19" i="11"/>
  <c r="J18" i="11"/>
  <c r="BL24" i="12"/>
  <c r="I22" i="11"/>
  <c r="J22" i="11"/>
  <c r="BM35" i="12"/>
  <c r="BM82" i="12" s="1"/>
  <c r="BM110" i="12" s="1"/>
  <c r="BM38" i="26" s="1"/>
  <c r="BM29" i="26"/>
  <c r="BL151" i="12"/>
  <c r="BL153" i="12" s="1"/>
  <c r="BL64" i="26" s="1"/>
  <c r="P19" i="11"/>
  <c r="P15" i="11"/>
  <c r="I18" i="11"/>
  <c r="Q19" i="11"/>
  <c r="W13" i="11"/>
  <c r="G12" i="11"/>
  <c r="W15" i="11"/>
  <c r="W19" i="11"/>
  <c r="BI125" i="12"/>
  <c r="BJ123" i="12" s="1"/>
  <c r="BI127" i="12"/>
  <c r="BI117" i="12"/>
  <c r="BM40" i="12"/>
  <c r="BM43" i="12" s="1"/>
  <c r="BM32" i="26" s="1"/>
  <c r="BM34" i="26" s="1"/>
  <c r="BL77" i="9"/>
  <c r="BJ71" i="12"/>
  <c r="BJ72" i="12" s="1"/>
  <c r="BJ109" i="12" s="1"/>
  <c r="BJ37" i="26" s="1"/>
  <c r="BK68" i="12"/>
  <c r="BK70" i="12" s="1"/>
  <c r="BL176" i="12"/>
  <c r="BL77" i="12"/>
  <c r="BL78" i="12" s="1"/>
  <c r="BL99" i="12" s="1"/>
  <c r="BL66" i="12"/>
  <c r="BM36" i="12"/>
  <c r="BM76" i="12"/>
  <c r="BM62" i="12"/>
  <c r="BK100" i="12"/>
  <c r="BK101" i="12"/>
  <c r="BM75" i="9"/>
  <c r="BM26" i="12"/>
  <c r="BM27" i="12" s="1"/>
  <c r="BL175" i="12"/>
  <c r="BJ102" i="12"/>
  <c r="BJ112" i="12" s="1"/>
  <c r="BJ40" i="26" s="1"/>
  <c r="K12" i="11"/>
  <c r="R13" i="11"/>
  <c r="BN40" i="9"/>
  <c r="BN42" i="9" s="1"/>
  <c r="BN48" i="9"/>
  <c r="BN50" i="9" s="1"/>
  <c r="BM72" i="9"/>
  <c r="BM74" i="9"/>
  <c r="W16" i="11" l="1"/>
  <c r="I13" i="11"/>
  <c r="H19" i="11"/>
  <c r="I19" i="11"/>
  <c r="J19" i="11"/>
  <c r="K13" i="11"/>
  <c r="BM35" i="26"/>
  <c r="BL84" i="26"/>
  <c r="BL66" i="26"/>
  <c r="X16" i="11"/>
  <c r="J15" i="11"/>
  <c r="BM23" i="12"/>
  <c r="BM147" i="12" s="1"/>
  <c r="BM149" i="12" s="1"/>
  <c r="BM17" i="26"/>
  <c r="BM18" i="26" s="1"/>
  <c r="BJ42" i="26"/>
  <c r="BJ44" i="26" s="1"/>
  <c r="BM30" i="26"/>
  <c r="Y16" i="11"/>
  <c r="BI129" i="12"/>
  <c r="BI131" i="12" s="1"/>
  <c r="BI172" i="12" s="1"/>
  <c r="BI177" i="12" s="1"/>
  <c r="BI206" i="12" s="1"/>
  <c r="BI209" i="12" s="1"/>
  <c r="BI212" i="12" s="1"/>
  <c r="BI47" i="26"/>
  <c r="BI49" i="26" s="1"/>
  <c r="BI51" i="26" s="1"/>
  <c r="BI81" i="26" s="1"/>
  <c r="BI86" i="26" s="1"/>
  <c r="BI108" i="26" s="1"/>
  <c r="BI111" i="26" s="1"/>
  <c r="BI114" i="26" s="1"/>
  <c r="P16" i="11"/>
  <c r="I15" i="11"/>
  <c r="Q16" i="11"/>
  <c r="BL173" i="12"/>
  <c r="BL58" i="26"/>
  <c r="BM65" i="26"/>
  <c r="BL85" i="26"/>
  <c r="BN11" i="12"/>
  <c r="BN11" i="26"/>
  <c r="BN12" i="26" s="1"/>
  <c r="BL157" i="12"/>
  <c r="BM106" i="12"/>
  <c r="BM113" i="12" s="1"/>
  <c r="BM41" i="26" s="1"/>
  <c r="H13" i="11"/>
  <c r="BI71" i="26"/>
  <c r="H15" i="11"/>
  <c r="H16" i="11" s="1"/>
  <c r="O16" i="11"/>
  <c r="J13" i="11"/>
  <c r="BI188" i="12"/>
  <c r="BI190" i="12" s="1"/>
  <c r="BJ187" i="12" s="1"/>
  <c r="BI162" i="12"/>
  <c r="BJ114" i="12"/>
  <c r="BJ116" i="12" s="1"/>
  <c r="BJ127" i="12" s="1"/>
  <c r="BK71" i="12"/>
  <c r="BK72" i="12" s="1"/>
  <c r="BK109" i="12" s="1"/>
  <c r="BK37" i="26" s="1"/>
  <c r="BL68" i="12"/>
  <c r="BL70" i="12" s="1"/>
  <c r="BN12" i="12"/>
  <c r="BN60" i="12"/>
  <c r="BK102" i="12"/>
  <c r="BK112" i="12" s="1"/>
  <c r="BK40" i="26" s="1"/>
  <c r="BM45" i="12"/>
  <c r="BM46" i="12" s="1"/>
  <c r="BL100" i="12"/>
  <c r="BL101" i="12"/>
  <c r="BM76" i="9"/>
  <c r="BM23" i="26" s="1"/>
  <c r="BM24" i="12"/>
  <c r="BM64" i="12"/>
  <c r="BM139" i="12"/>
  <c r="BM141" i="12" s="1"/>
  <c r="BM58" i="26" s="1"/>
  <c r="BM151" i="12"/>
  <c r="BM153" i="12" s="1"/>
  <c r="BM64" i="26" s="1"/>
  <c r="BN68" i="9"/>
  <c r="BN62" i="9"/>
  <c r="BN64" i="9" s="1"/>
  <c r="BN20" i="26" s="1"/>
  <c r="BN21" i="26" s="1"/>
  <c r="J16" i="11" l="1"/>
  <c r="BL82" i="26"/>
  <c r="BM82" i="26"/>
  <c r="BM84" i="26"/>
  <c r="BM66" i="26"/>
  <c r="BK42" i="26"/>
  <c r="BK44" i="26" s="1"/>
  <c r="BM174" i="12"/>
  <c r="BM63" i="26"/>
  <c r="BM83" i="26" s="1"/>
  <c r="BJ129" i="12"/>
  <c r="BJ131" i="12" s="1"/>
  <c r="BJ172" i="12" s="1"/>
  <c r="BJ177" i="12" s="1"/>
  <c r="BJ206" i="12" s="1"/>
  <c r="BJ209" i="12" s="1"/>
  <c r="BJ212" i="12" s="1"/>
  <c r="BJ47" i="26"/>
  <c r="BJ49" i="26" s="1"/>
  <c r="BM85" i="26"/>
  <c r="I16" i="11"/>
  <c r="BJ45" i="26"/>
  <c r="BJ51" i="26"/>
  <c r="BJ81" i="26" s="1"/>
  <c r="BJ86" i="26" s="1"/>
  <c r="BJ108" i="26" s="1"/>
  <c r="BJ111" i="26" s="1"/>
  <c r="BJ114" i="26" s="1"/>
  <c r="BJ188" i="12"/>
  <c r="BJ190" i="12" s="1"/>
  <c r="BK187" i="12" s="1"/>
  <c r="BJ117" i="12"/>
  <c r="BJ124" i="12"/>
  <c r="BJ125" i="12" s="1"/>
  <c r="BK123" i="12" s="1"/>
  <c r="BK114" i="12"/>
  <c r="BK116" i="12" s="1"/>
  <c r="BK117" i="12" s="1"/>
  <c r="BJ162" i="12"/>
  <c r="BL71" i="12"/>
  <c r="BL72" i="12" s="1"/>
  <c r="BL109" i="12" s="1"/>
  <c r="BL37" i="26" s="1"/>
  <c r="BM77" i="9"/>
  <c r="BM29" i="12"/>
  <c r="BM155" i="12" s="1"/>
  <c r="BM77" i="12"/>
  <c r="BM78" i="12" s="1"/>
  <c r="BM99" i="12" s="1"/>
  <c r="BM66" i="12"/>
  <c r="BM175" i="12"/>
  <c r="BN75" i="9"/>
  <c r="BN26" i="12"/>
  <c r="BN27" i="12" s="1"/>
  <c r="BM173" i="12"/>
  <c r="BL102" i="12"/>
  <c r="BL112" i="12" s="1"/>
  <c r="BL40" i="26" s="1"/>
  <c r="BN76" i="12"/>
  <c r="BN62" i="12"/>
  <c r="BN70" i="9"/>
  <c r="BN29" i="26" s="1"/>
  <c r="BN30" i="26" s="1"/>
  <c r="R18" i="11"/>
  <c r="R19" i="11" s="1"/>
  <c r="BL42" i="26" l="1"/>
  <c r="BL44" i="26" s="1"/>
  <c r="BK45" i="26"/>
  <c r="BJ71" i="26"/>
  <c r="BK124" i="12"/>
  <c r="BK125" i="12" s="1"/>
  <c r="BL123" i="12" s="1"/>
  <c r="BK127" i="12"/>
  <c r="BL114" i="12"/>
  <c r="BL116" i="12" s="1"/>
  <c r="BL117" i="12" s="1"/>
  <c r="BM68" i="12"/>
  <c r="BM70" i="12" s="1"/>
  <c r="BM100" i="12"/>
  <c r="BM101" i="12"/>
  <c r="BM176" i="12"/>
  <c r="BN74" i="9"/>
  <c r="BN76" i="9" s="1"/>
  <c r="BN23" i="26" s="1"/>
  <c r="BN65" i="26" s="1"/>
  <c r="BN85" i="26" s="1"/>
  <c r="BN35" i="12"/>
  <c r="BM157" i="12"/>
  <c r="BN72" i="9"/>
  <c r="R15" i="11"/>
  <c r="K18" i="11"/>
  <c r="K19" i="11" s="1"/>
  <c r="BN23" i="12" l="1"/>
  <c r="BN147" i="12" s="1"/>
  <c r="BN149" i="12" s="1"/>
  <c r="BN17" i="26"/>
  <c r="BN18" i="26" s="1"/>
  <c r="BK129" i="12"/>
  <c r="BK131" i="12" s="1"/>
  <c r="BK172" i="12" s="1"/>
  <c r="BK177" i="12" s="1"/>
  <c r="BK47" i="26"/>
  <c r="BK49" i="26" s="1"/>
  <c r="BK51" i="26" s="1"/>
  <c r="BK81" i="26" s="1"/>
  <c r="BK86" i="26" s="1"/>
  <c r="BK108" i="26" s="1"/>
  <c r="BK111" i="26" s="1"/>
  <c r="BK114" i="26" s="1"/>
  <c r="BK71" i="26"/>
  <c r="BL45" i="26"/>
  <c r="BL127" i="12"/>
  <c r="BL124" i="12"/>
  <c r="BL125" i="12" s="1"/>
  <c r="BM123" i="12" s="1"/>
  <c r="BK162" i="12"/>
  <c r="BN40" i="12"/>
  <c r="BN43" i="12" s="1"/>
  <c r="BN32" i="26" s="1"/>
  <c r="BN34" i="26" s="1"/>
  <c r="BN82" i="12"/>
  <c r="BN110" i="12" s="1"/>
  <c r="BN38" i="26" s="1"/>
  <c r="BM71" i="12"/>
  <c r="BM72" i="12" s="1"/>
  <c r="BM109" i="12" s="1"/>
  <c r="BM37" i="26" s="1"/>
  <c r="BN77" i="9"/>
  <c r="K21" i="11" s="1"/>
  <c r="K22" i="11" s="1"/>
  <c r="BN29" i="12"/>
  <c r="BN155" i="12" s="1"/>
  <c r="BN176" i="12" s="1"/>
  <c r="BM102" i="12"/>
  <c r="BM112" i="12" s="1"/>
  <c r="BM40" i="26" s="1"/>
  <c r="BN64" i="12"/>
  <c r="BN139" i="12"/>
  <c r="BN141" i="12" s="1"/>
  <c r="BN151" i="12"/>
  <c r="BN153" i="12" s="1"/>
  <c r="BN64" i="26" s="1"/>
  <c r="BN36" i="12"/>
  <c r="BN106" i="12"/>
  <c r="BN113" i="12" s="1"/>
  <c r="BN41" i="26" s="1"/>
  <c r="K15" i="11"/>
  <c r="K16" i="11" s="1"/>
  <c r="R16" i="11"/>
  <c r="BN84" i="26" l="1"/>
  <c r="BN66" i="26"/>
  <c r="BN24" i="12"/>
  <c r="BM42" i="26"/>
  <c r="BM44" i="26" s="1"/>
  <c r="BN174" i="12"/>
  <c r="BN63" i="26"/>
  <c r="BN83" i="26" s="1"/>
  <c r="BN173" i="12"/>
  <c r="BN58" i="26"/>
  <c r="BN82" i="26" s="1"/>
  <c r="BN35" i="26"/>
  <c r="BL129" i="12"/>
  <c r="BL131" i="12" s="1"/>
  <c r="BL172" i="12" s="1"/>
  <c r="BL177" i="12" s="1"/>
  <c r="BL206" i="12" s="1"/>
  <c r="BL209" i="12" s="1"/>
  <c r="BL212" i="12" s="1"/>
  <c r="BL47" i="26"/>
  <c r="BL49" i="26" s="1"/>
  <c r="BL51" i="26" s="1"/>
  <c r="BL81" i="26" s="1"/>
  <c r="BL86" i="26" s="1"/>
  <c r="BL108" i="26" s="1"/>
  <c r="BL111" i="26" s="1"/>
  <c r="BL114" i="26" s="1"/>
  <c r="BM114" i="12"/>
  <c r="BM116" i="12" s="1"/>
  <c r="BM117" i="12" s="1"/>
  <c r="BL162" i="12"/>
  <c r="BK188" i="12"/>
  <c r="BK190" i="12" s="1"/>
  <c r="BL187" i="12" s="1"/>
  <c r="BK206" i="12"/>
  <c r="BK209" i="12" s="1"/>
  <c r="BK212" i="12" s="1"/>
  <c r="BN45" i="12"/>
  <c r="BN46" i="12" s="1"/>
  <c r="BN77" i="12"/>
  <c r="BN78" i="12" s="1"/>
  <c r="BN99" i="12" s="1"/>
  <c r="BN66" i="12"/>
  <c r="BN175" i="12"/>
  <c r="BN157" i="12"/>
  <c r="BM45" i="26" l="1"/>
  <c r="BL188" i="12"/>
  <c r="BL71" i="26"/>
  <c r="BM127" i="12"/>
  <c r="BM124" i="12"/>
  <c r="BM125" i="12" s="1"/>
  <c r="BN123" i="12" s="1"/>
  <c r="BL190" i="12"/>
  <c r="BM187" i="12" s="1"/>
  <c r="BN68" i="12"/>
  <c r="BN70" i="12" s="1"/>
  <c r="BN101" i="12"/>
  <c r="BN100" i="12"/>
  <c r="BM129" i="12" l="1"/>
  <c r="BM131" i="12" s="1"/>
  <c r="BM172" i="12" s="1"/>
  <c r="BM177" i="12" s="1"/>
  <c r="BM206" i="12" s="1"/>
  <c r="BM209" i="12" s="1"/>
  <c r="BM212" i="12" s="1"/>
  <c r="BM47" i="26"/>
  <c r="BM49" i="26" s="1"/>
  <c r="BM51" i="26" s="1"/>
  <c r="BM81" i="26" s="1"/>
  <c r="BM86" i="26" s="1"/>
  <c r="BM108" i="26" s="1"/>
  <c r="BM111" i="26" s="1"/>
  <c r="BM114" i="26" s="1"/>
  <c r="BM71" i="26"/>
  <c r="BM188" i="12"/>
  <c r="BM190" i="12" s="1"/>
  <c r="BN187" i="12" s="1"/>
  <c r="BN71" i="12"/>
  <c r="BN72" i="12" s="1"/>
  <c r="BN109" i="12" s="1"/>
  <c r="BN37" i="26" s="1"/>
  <c r="BN102" i="12"/>
  <c r="BN112" i="12" s="1"/>
  <c r="BN40" i="26" s="1"/>
  <c r="BM162" i="12" l="1"/>
  <c r="BN42" i="26"/>
  <c r="BN44" i="26" s="1"/>
  <c r="BN114" i="12"/>
  <c r="BN116" i="12" s="1"/>
  <c r="BN124" i="12" s="1"/>
  <c r="BN125" i="12" s="1"/>
  <c r="BN45" i="26" l="1"/>
  <c r="BN117" i="12"/>
  <c r="BN127" i="12"/>
  <c r="BN129" i="12" l="1"/>
  <c r="BN131" i="12" s="1"/>
  <c r="BN172" i="12" s="1"/>
  <c r="BN177" i="12" s="1"/>
  <c r="BN188" i="12" s="1"/>
  <c r="BN190" i="12" s="1"/>
  <c r="G192" i="12" s="1"/>
  <c r="BN47" i="26"/>
  <c r="BN49" i="26" s="1"/>
  <c r="BN51" i="26" s="1"/>
  <c r="G94" i="26"/>
  <c r="G95" i="26" s="1"/>
  <c r="Q103" i="26" s="1" a="1"/>
  <c r="Q103" i="26" s="1"/>
  <c r="G193" i="12"/>
  <c r="BN162" i="12"/>
  <c r="BN206" i="12"/>
  <c r="BN209" i="12" s="1"/>
  <c r="BN212" i="12" s="1"/>
  <c r="BN81" i="26" l="1"/>
  <c r="BN86" i="26" s="1"/>
  <c r="BN108" i="26" s="1"/>
  <c r="BN111" i="26" s="1"/>
  <c r="BN114" i="26" s="1"/>
  <c r="BN71" i="26"/>
  <c r="Q104" i="26"/>
  <c r="Q110" i="26" s="1"/>
  <c r="Q111" i="26" s="1"/>
  <c r="Q114" i="26" s="1"/>
  <c r="Q115" i="26" s="1"/>
  <c r="R113" i="26" s="1"/>
  <c r="R115" i="26" s="1"/>
  <c r="S113" i="26" s="1"/>
  <c r="S115" i="26" s="1"/>
  <c r="T113" i="26" s="1"/>
  <c r="T115" i="26" s="1"/>
  <c r="U113" i="26" s="1"/>
  <c r="U115" i="26" s="1"/>
  <c r="V113" i="26" s="1"/>
  <c r="V115" i="26" s="1"/>
  <c r="W113" i="26" s="1"/>
  <c r="W115" i="26" s="1"/>
  <c r="X113" i="26" s="1"/>
  <c r="X115" i="26" s="1"/>
  <c r="Y113" i="26" s="1"/>
  <c r="Y115" i="26" s="1"/>
  <c r="Z113" i="26" s="1"/>
  <c r="Z115" i="26" s="1"/>
  <c r="AA113" i="26" s="1"/>
  <c r="AA115" i="26" s="1"/>
  <c r="AB113" i="26" s="1"/>
  <c r="AB115" i="26" s="1"/>
  <c r="AC113" i="26" s="1"/>
  <c r="AC115" i="26" s="1"/>
  <c r="AD113" i="26" s="1"/>
  <c r="AD115" i="26" s="1"/>
  <c r="AE113" i="26" s="1"/>
  <c r="AE115" i="26" s="1"/>
  <c r="AF113" i="26" s="1"/>
  <c r="AF115" i="26" s="1"/>
  <c r="AG113" i="26" s="1"/>
  <c r="AG115" i="26" s="1"/>
  <c r="AH113" i="26" s="1"/>
  <c r="AH115" i="26" s="1"/>
  <c r="AI113" i="26" s="1"/>
  <c r="AI115" i="26" s="1"/>
  <c r="AJ113" i="26" s="1"/>
  <c r="AJ115" i="26" s="1"/>
  <c r="AK113" i="26" s="1"/>
  <c r="AK115" i="26" s="1"/>
  <c r="AL113" i="26" s="1"/>
  <c r="AL115" i="26" s="1"/>
  <c r="AM113" i="26" s="1"/>
  <c r="AM115" i="26" s="1"/>
  <c r="AN113" i="26" s="1"/>
  <c r="AN115" i="26" s="1"/>
  <c r="AO113" i="26" s="1"/>
  <c r="AO115" i="26" s="1"/>
  <c r="AP113" i="26" s="1"/>
  <c r="AP115" i="26" s="1"/>
  <c r="AQ113" i="26" s="1"/>
  <c r="AQ115" i="26" s="1"/>
  <c r="AR113" i="26" s="1"/>
  <c r="AR115" i="26" s="1"/>
  <c r="AS113" i="26" s="1"/>
  <c r="AS115" i="26" s="1"/>
  <c r="AT113" i="26" s="1"/>
  <c r="AT115" i="26" s="1"/>
  <c r="AU113" i="26" s="1"/>
  <c r="AU115" i="26" s="1"/>
  <c r="AV113" i="26" s="1"/>
  <c r="AV115" i="26" s="1"/>
  <c r="AW113" i="26" s="1"/>
  <c r="AW115" i="26" s="1"/>
  <c r="AX113" i="26" s="1"/>
  <c r="AX115" i="26" s="1"/>
  <c r="AY113" i="26" s="1"/>
  <c r="AY115" i="26" s="1"/>
  <c r="AZ113" i="26" s="1"/>
  <c r="AZ115" i="26" s="1"/>
  <c r="BA113" i="26" s="1"/>
  <c r="BA115" i="26" s="1"/>
  <c r="BB113" i="26" s="1"/>
  <c r="BB115" i="26" s="1"/>
  <c r="BC113" i="26" s="1"/>
  <c r="BC115" i="26" s="1"/>
  <c r="BD113" i="26" s="1"/>
  <c r="BD115" i="26" s="1"/>
  <c r="BE113" i="26" s="1"/>
  <c r="BE115" i="26" s="1"/>
  <c r="BF113" i="26" s="1"/>
  <c r="BF115" i="26" s="1"/>
  <c r="BG113" i="26" s="1"/>
  <c r="BG115" i="26" s="1"/>
  <c r="BH113" i="26" s="1"/>
  <c r="BH115" i="26" s="1"/>
  <c r="BI113" i="26" s="1"/>
  <c r="BI115" i="26" s="1"/>
  <c r="BJ113" i="26" s="1"/>
  <c r="BJ115" i="26" s="1"/>
  <c r="BK113" i="26" s="1"/>
  <c r="BK115" i="26" s="1"/>
  <c r="BL113" i="26" s="1"/>
  <c r="BL115" i="26" s="1"/>
  <c r="BM113" i="26" s="1"/>
  <c r="BM115" i="26" s="1"/>
  <c r="BN113" i="26" s="1"/>
  <c r="BN115" i="26" s="1"/>
  <c r="Q70" i="26"/>
  <c r="AC201" i="12" a="1"/>
  <c r="AC201" i="12" s="1"/>
  <c r="AC202" i="12" s="1"/>
  <c r="AC208" i="12" s="1"/>
  <c r="AC209" i="12" s="1"/>
  <c r="AC212" i="12" s="1"/>
  <c r="Q201" i="12" a="1"/>
  <c r="Q201" i="12" s="1"/>
  <c r="Q202" i="12" l="1"/>
  <c r="Q208" i="12" s="1"/>
  <c r="Q209" i="12" s="1"/>
  <c r="Q212" i="12" s="1"/>
  <c r="Q213" i="12" s="1"/>
  <c r="Q161" i="12"/>
  <c r="R70" i="26"/>
  <c r="Q73" i="26"/>
  <c r="S70" i="26" l="1"/>
  <c r="R73" i="26"/>
  <c r="R161" i="12"/>
  <c r="Q164" i="12"/>
  <c r="Q137" i="12"/>
  <c r="R211" i="12"/>
  <c r="R213" i="12" s="1"/>
  <c r="R164" i="12" l="1"/>
  <c r="S161" i="12"/>
  <c r="R137" i="12"/>
  <c r="S211" i="12"/>
  <c r="S213" i="12" s="1"/>
  <c r="Q143" i="12"/>
  <c r="Q166" i="12" s="1"/>
  <c r="Q57" i="26"/>
  <c r="Q59" i="26" s="1"/>
  <c r="Q75" i="26" s="1"/>
  <c r="T70" i="26"/>
  <c r="S73" i="26"/>
  <c r="T211" i="12" l="1"/>
  <c r="T213" i="12" s="1"/>
  <c r="S137" i="12"/>
  <c r="T73" i="26"/>
  <c r="U70" i="26"/>
  <c r="R57" i="26"/>
  <c r="R59" i="26" s="1"/>
  <c r="R75" i="26" s="1"/>
  <c r="R143" i="12"/>
  <c r="R166" i="12" s="1"/>
  <c r="T161" i="12"/>
  <c r="S164" i="12"/>
  <c r="U73" i="26" l="1"/>
  <c r="V70" i="26"/>
  <c r="T164" i="12"/>
  <c r="U161" i="12"/>
  <c r="S57" i="26"/>
  <c r="S59" i="26" s="1"/>
  <c r="S75" i="26" s="1"/>
  <c r="S143" i="12"/>
  <c r="S166" i="12" s="1"/>
  <c r="T137" i="12"/>
  <c r="U211" i="12"/>
  <c r="U213" i="12" s="1"/>
  <c r="U137" i="12" l="1"/>
  <c r="V211" i="12"/>
  <c r="V213" i="12" s="1"/>
  <c r="U164" i="12"/>
  <c r="V161" i="12"/>
  <c r="T57" i="26"/>
  <c r="T59" i="26" s="1"/>
  <c r="T75" i="26" s="1"/>
  <c r="T143" i="12"/>
  <c r="T166" i="12" s="1"/>
  <c r="V73" i="26"/>
  <c r="W70" i="26"/>
  <c r="W73" i="26" l="1"/>
  <c r="X70" i="26"/>
  <c r="W161" i="12"/>
  <c r="V164" i="12"/>
  <c r="V137" i="12"/>
  <c r="W211" i="12"/>
  <c r="W213" i="12" s="1"/>
  <c r="U57" i="26"/>
  <c r="U59" i="26" s="1"/>
  <c r="U75" i="26" s="1"/>
  <c r="U143" i="12"/>
  <c r="U166" i="12" s="1"/>
  <c r="X161" i="12" l="1"/>
  <c r="W164" i="12"/>
  <c r="X211" i="12"/>
  <c r="X213" i="12" s="1"/>
  <c r="W137" i="12"/>
  <c r="X73" i="26"/>
  <c r="Y70" i="26"/>
  <c r="V143" i="12"/>
  <c r="V166" i="12" s="1"/>
  <c r="V57" i="26"/>
  <c r="V59" i="26" s="1"/>
  <c r="V75" i="26" s="1"/>
  <c r="W143" i="12" l="1"/>
  <c r="W166" i="12" s="1"/>
  <c r="W57" i="26"/>
  <c r="W59" i="26" s="1"/>
  <c r="W75" i="26" s="1"/>
  <c r="Y211" i="12"/>
  <c r="Y213" i="12" s="1"/>
  <c r="X137" i="12"/>
  <c r="Y73" i="26"/>
  <c r="Z70" i="26"/>
  <c r="Y161" i="12"/>
  <c r="X164" i="12"/>
  <c r="X57" i="26" l="1"/>
  <c r="X59" i="26" s="1"/>
  <c r="X75" i="26" s="1"/>
  <c r="X143" i="12"/>
  <c r="X166" i="12" s="1"/>
  <c r="Y164" i="12"/>
  <c r="Z161" i="12"/>
  <c r="Z211" i="12"/>
  <c r="Z213" i="12" s="1"/>
  <c r="Y137" i="12"/>
  <c r="Z73" i="26"/>
  <c r="AA70" i="26"/>
  <c r="Y57" i="26" l="1"/>
  <c r="Y59" i="26" s="1"/>
  <c r="Y75" i="26" s="1"/>
  <c r="Y143" i="12"/>
  <c r="Y166" i="12" s="1"/>
  <c r="Z137" i="12"/>
  <c r="AA211" i="12"/>
  <c r="AA213" i="12" s="1"/>
  <c r="AB70" i="26"/>
  <c r="AA73" i="26"/>
  <c r="AA161" i="12"/>
  <c r="Z164" i="12"/>
  <c r="AA164" i="12" l="1"/>
  <c r="AB161" i="12"/>
  <c r="AB211" i="12"/>
  <c r="AB213" i="12" s="1"/>
  <c r="AA137" i="12"/>
  <c r="Z57" i="26"/>
  <c r="Z59" i="26" s="1"/>
  <c r="Z75" i="26" s="1"/>
  <c r="Z143" i="12"/>
  <c r="Z166" i="12" s="1"/>
  <c r="AC70" i="26"/>
  <c r="AB73" i="26"/>
  <c r="AC73" i="26" l="1"/>
  <c r="AD70" i="26"/>
  <c r="AC161" i="12"/>
  <c r="AB164" i="12"/>
  <c r="AA57" i="26"/>
  <c r="AA59" i="26" s="1"/>
  <c r="AA75" i="26" s="1"/>
  <c r="AA143" i="12"/>
  <c r="AA166" i="12" s="1"/>
  <c r="AC211" i="12"/>
  <c r="AC213" i="12" s="1"/>
  <c r="AB137" i="12"/>
  <c r="AD73" i="26" l="1"/>
  <c r="AE70" i="26"/>
  <c r="AB143" i="12"/>
  <c r="AB166" i="12" s="1"/>
  <c r="AB57" i="26"/>
  <c r="AB59" i="26" s="1"/>
  <c r="AB75" i="26" s="1"/>
  <c r="AD211" i="12"/>
  <c r="AD213" i="12" s="1"/>
  <c r="AC137" i="12"/>
  <c r="AC164" i="12"/>
  <c r="AD161" i="12"/>
  <c r="AF70" i="26" l="1"/>
  <c r="AE73" i="26"/>
  <c r="AC143" i="12"/>
  <c r="AC166" i="12" s="1"/>
  <c r="AC57" i="26"/>
  <c r="AC59" i="26" s="1"/>
  <c r="AC75" i="26" s="1"/>
  <c r="AE211" i="12"/>
  <c r="AE213" i="12" s="1"/>
  <c r="AD137" i="12"/>
  <c r="AD164" i="12"/>
  <c r="AE161" i="12"/>
  <c r="AG70" i="26" l="1"/>
  <c r="AF73" i="26"/>
  <c r="AD57" i="26"/>
  <c r="AD59" i="26" s="1"/>
  <c r="AD75" i="26" s="1"/>
  <c r="E75" i="26" s="1" a="1"/>
  <c r="E75" i="26" s="1"/>
  <c r="AD143" i="12"/>
  <c r="AD166" i="12" s="1"/>
  <c r="E166" i="12" s="1" a="1"/>
  <c r="E166" i="12" s="1"/>
  <c r="AF211" i="12"/>
  <c r="AF213" i="12" s="1"/>
  <c r="AE137" i="12"/>
  <c r="AF161" i="12"/>
  <c r="AE164" i="12"/>
  <c r="AE143" i="12" l="1"/>
  <c r="AE166" i="12" s="1"/>
  <c r="AE57" i="26"/>
  <c r="AE59" i="26" s="1"/>
  <c r="AE75" i="26" s="1"/>
  <c r="AH70" i="26"/>
  <c r="AG73" i="26"/>
  <c r="AF137" i="12"/>
  <c r="AG211" i="12"/>
  <c r="AG213" i="12" s="1"/>
  <c r="AG161" i="12"/>
  <c r="AF164" i="12"/>
  <c r="AF143" i="12" l="1"/>
  <c r="AF166" i="12" s="1"/>
  <c r="AF57" i="26"/>
  <c r="AF59" i="26" s="1"/>
  <c r="AF75" i="26" s="1"/>
  <c r="AI70" i="26"/>
  <c r="AH73" i="26"/>
  <c r="AH161" i="12"/>
  <c r="AG164" i="12"/>
  <c r="AG137" i="12"/>
  <c r="AH211" i="12"/>
  <c r="AH213" i="12" s="1"/>
  <c r="AG143" i="12" l="1"/>
  <c r="AG166" i="12" s="1"/>
  <c r="AG57" i="26"/>
  <c r="AG59" i="26" s="1"/>
  <c r="AG75" i="26" s="1"/>
  <c r="AJ70" i="26"/>
  <c r="AI73" i="26"/>
  <c r="AI161" i="12"/>
  <c r="AH164" i="12"/>
  <c r="AI211" i="12"/>
  <c r="AI213" i="12" s="1"/>
  <c r="AH137" i="12"/>
  <c r="AK70" i="26" l="1"/>
  <c r="AJ73" i="26"/>
  <c r="AH143" i="12"/>
  <c r="AH57" i="26"/>
  <c r="AH59" i="26" s="1"/>
  <c r="AH75" i="26" s="1"/>
  <c r="AH166" i="12"/>
  <c r="AI137" i="12"/>
  <c r="AJ211" i="12"/>
  <c r="AJ213" i="12" s="1"/>
  <c r="AJ161" i="12"/>
  <c r="AI164" i="12"/>
  <c r="AI143" i="12" l="1"/>
  <c r="AI166" i="12" s="1"/>
  <c r="AI57" i="26"/>
  <c r="AI59" i="26" s="1"/>
  <c r="AI75" i="26" s="1"/>
  <c r="AL70" i="26"/>
  <c r="AK73" i="26"/>
  <c r="AJ164" i="12"/>
  <c r="AK161" i="12"/>
  <c r="AK211" i="12"/>
  <c r="AK213" i="12" s="1"/>
  <c r="AJ137" i="12"/>
  <c r="AJ143" i="12" l="1"/>
  <c r="AJ57" i="26"/>
  <c r="AJ59" i="26" s="1"/>
  <c r="AJ75" i="26" s="1"/>
  <c r="AM70" i="26"/>
  <c r="AL73" i="26"/>
  <c r="AJ166" i="12"/>
  <c r="AK137" i="12"/>
  <c r="AL211" i="12"/>
  <c r="AL213" i="12" s="1"/>
  <c r="AK164" i="12"/>
  <c r="AL161" i="12"/>
  <c r="AN70" i="26" l="1"/>
  <c r="AM73" i="26"/>
  <c r="AK143" i="12"/>
  <c r="AK166" i="12" s="1"/>
  <c r="AK57" i="26"/>
  <c r="AK59" i="26" s="1"/>
  <c r="AK75" i="26" s="1"/>
  <c r="AL137" i="12"/>
  <c r="AM211" i="12"/>
  <c r="AM213" i="12" s="1"/>
  <c r="AM161" i="12"/>
  <c r="AL164" i="12"/>
  <c r="AL143" i="12" l="1"/>
  <c r="AL57" i="26"/>
  <c r="AL59" i="26" s="1"/>
  <c r="AL75" i="26" s="1"/>
  <c r="AO70" i="26"/>
  <c r="AN73" i="26"/>
  <c r="AM164" i="12"/>
  <c r="AN161" i="12"/>
  <c r="AN211" i="12"/>
  <c r="AN213" i="12" s="1"/>
  <c r="AM137" i="12"/>
  <c r="AL166" i="12"/>
  <c r="AM143" i="12" l="1"/>
  <c r="AM166" i="12" s="1"/>
  <c r="AM57" i="26"/>
  <c r="AM59" i="26" s="1"/>
  <c r="AM75" i="26" s="1"/>
  <c r="AP70" i="26"/>
  <c r="AO73" i="26"/>
  <c r="AN137" i="12"/>
  <c r="AO211" i="12"/>
  <c r="AO213" i="12" s="1"/>
  <c r="AO161" i="12"/>
  <c r="AN164" i="12"/>
  <c r="AQ70" i="26" l="1"/>
  <c r="AP73" i="26"/>
  <c r="AN143" i="12"/>
  <c r="AN57" i="26"/>
  <c r="AN59" i="26" s="1"/>
  <c r="AN75" i="26" s="1"/>
  <c r="AO137" i="12"/>
  <c r="AP211" i="12"/>
  <c r="AP213" i="12" s="1"/>
  <c r="AO164" i="12"/>
  <c r="AP161" i="12"/>
  <c r="AN166" i="12"/>
  <c r="AO143" i="12" l="1"/>
  <c r="AO57" i="26"/>
  <c r="AO59" i="26" s="1"/>
  <c r="AO75" i="26" s="1"/>
  <c r="AR70" i="26"/>
  <c r="AQ73" i="26"/>
  <c r="AQ211" i="12"/>
  <c r="AQ213" i="12" s="1"/>
  <c r="AP137" i="12"/>
  <c r="AO166" i="12"/>
  <c r="AQ161" i="12"/>
  <c r="AP164" i="12"/>
  <c r="AP143" i="12" l="1"/>
  <c r="AP166" i="12" s="1"/>
  <c r="AP57" i="26"/>
  <c r="AP59" i="26" s="1"/>
  <c r="AP75" i="26" s="1"/>
  <c r="AS70" i="26"/>
  <c r="AR73" i="26"/>
  <c r="AR161" i="12"/>
  <c r="AQ164" i="12"/>
  <c r="AQ137" i="12"/>
  <c r="AR211" i="12"/>
  <c r="AR213" i="12" s="1"/>
  <c r="AQ143" i="12" l="1"/>
  <c r="AQ166" i="12" s="1"/>
  <c r="AQ57" i="26"/>
  <c r="AQ59" i="26" s="1"/>
  <c r="AQ75" i="26" s="1"/>
  <c r="AT70" i="26"/>
  <c r="AS73" i="26"/>
  <c r="AR164" i="12"/>
  <c r="AS161" i="12"/>
  <c r="AR137" i="12"/>
  <c r="AS211" i="12"/>
  <c r="AS213" i="12" s="1"/>
  <c r="AR143" i="12" l="1"/>
  <c r="AR166" i="12" s="1"/>
  <c r="AR57" i="26"/>
  <c r="AR59" i="26" s="1"/>
  <c r="AR75" i="26" s="1"/>
  <c r="AU70" i="26"/>
  <c r="AT73" i="26"/>
  <c r="AT161" i="12"/>
  <c r="AS164" i="12"/>
  <c r="AS137" i="12"/>
  <c r="AT211" i="12"/>
  <c r="AT213" i="12" s="1"/>
  <c r="AS143" i="12" l="1"/>
  <c r="AS166" i="12" s="1"/>
  <c r="AS57" i="26"/>
  <c r="AS59" i="26" s="1"/>
  <c r="AS75" i="26" s="1"/>
  <c r="AV70" i="26"/>
  <c r="AU73" i="26"/>
  <c r="AU211" i="12"/>
  <c r="AU213" i="12" s="1"/>
  <c r="AT137" i="12"/>
  <c r="AU161" i="12"/>
  <c r="AT164" i="12"/>
  <c r="AW70" i="26" l="1"/>
  <c r="AV73" i="26"/>
  <c r="AT143" i="12"/>
  <c r="AT57" i="26"/>
  <c r="AT59" i="26" s="1"/>
  <c r="AT75" i="26" s="1"/>
  <c r="AV161" i="12"/>
  <c r="AU164" i="12"/>
  <c r="AT166" i="12"/>
  <c r="AU137" i="12"/>
  <c r="AV211" i="12"/>
  <c r="AV213" i="12" s="1"/>
  <c r="AU143" i="12" l="1"/>
  <c r="AU57" i="26"/>
  <c r="AU59" i="26" s="1"/>
  <c r="AU75" i="26" s="1"/>
  <c r="AX70" i="26"/>
  <c r="AW73" i="26"/>
  <c r="AW211" i="12"/>
  <c r="AW213" i="12" s="1"/>
  <c r="AV137" i="12"/>
  <c r="AW161" i="12"/>
  <c r="AV164" i="12"/>
  <c r="AU166" i="12"/>
  <c r="AY70" i="26" l="1"/>
  <c r="AX73" i="26"/>
  <c r="AV143" i="12"/>
  <c r="AV166" i="12" s="1"/>
  <c r="AV57" i="26"/>
  <c r="AV59" i="26" s="1"/>
  <c r="AV75" i="26" s="1"/>
  <c r="AW137" i="12"/>
  <c r="AX211" i="12"/>
  <c r="AX213" i="12" s="1"/>
  <c r="AW164" i="12"/>
  <c r="AX161" i="12"/>
  <c r="AW143" i="12" l="1"/>
  <c r="AW57" i="26"/>
  <c r="AW59" i="26" s="1"/>
  <c r="AW75" i="26" s="1"/>
  <c r="AZ70" i="26"/>
  <c r="AY73" i="26"/>
  <c r="AX164" i="12"/>
  <c r="AY161" i="12"/>
  <c r="AX137" i="12"/>
  <c r="AY211" i="12"/>
  <c r="AY213" i="12" s="1"/>
  <c r="AW166" i="12"/>
  <c r="AX143" i="12" l="1"/>
  <c r="AX166" i="12" s="1"/>
  <c r="AX57" i="26"/>
  <c r="AX59" i="26" s="1"/>
  <c r="AX75" i="26" s="1"/>
  <c r="BA70" i="26"/>
  <c r="AZ73" i="26"/>
  <c r="AY137" i="12"/>
  <c r="AZ211" i="12"/>
  <c r="AZ213" i="12" s="1"/>
  <c r="AY164" i="12"/>
  <c r="AZ161" i="12"/>
  <c r="BB70" i="26" l="1"/>
  <c r="BA73" i="26"/>
  <c r="AY143" i="12"/>
  <c r="AY166" i="12" s="1"/>
  <c r="AY57" i="26"/>
  <c r="AY59" i="26" s="1"/>
  <c r="AY75" i="26" s="1"/>
  <c r="BA161" i="12"/>
  <c r="AZ164" i="12"/>
  <c r="AZ137" i="12"/>
  <c r="BA211" i="12"/>
  <c r="BA213" i="12" s="1"/>
  <c r="AZ143" i="12" l="1"/>
  <c r="AZ57" i="26"/>
  <c r="AZ59" i="26" s="1"/>
  <c r="AZ75" i="26" s="1"/>
  <c r="BC70" i="26"/>
  <c r="BB73" i="26"/>
  <c r="AZ166" i="12"/>
  <c r="BA137" i="12"/>
  <c r="BB211" i="12"/>
  <c r="BB213" i="12" s="1"/>
  <c r="BA164" i="12"/>
  <c r="BB161" i="12"/>
  <c r="BD70" i="26" l="1"/>
  <c r="BC73" i="26"/>
  <c r="BA143" i="12"/>
  <c r="BA166" i="12" s="1"/>
  <c r="BA57" i="26"/>
  <c r="BA59" i="26" s="1"/>
  <c r="BA75" i="26" s="1"/>
  <c r="BB164" i="12"/>
  <c r="BC161" i="12"/>
  <c r="BB137" i="12"/>
  <c r="BC211" i="12"/>
  <c r="BC213" i="12" s="1"/>
  <c r="BB143" i="12" l="1"/>
  <c r="BB166" i="12" s="1"/>
  <c r="BB57" i="26"/>
  <c r="BB59" i="26" s="1"/>
  <c r="BB75" i="26" s="1"/>
  <c r="BE70" i="26"/>
  <c r="BD73" i="26"/>
  <c r="BD161" i="12"/>
  <c r="BC164" i="12"/>
  <c r="BC137" i="12"/>
  <c r="BD211" i="12"/>
  <c r="BD213" i="12" s="1"/>
  <c r="BC143" i="12" l="1"/>
  <c r="BC166" i="12" s="1"/>
  <c r="BC57" i="26"/>
  <c r="BC59" i="26" s="1"/>
  <c r="BC75" i="26" s="1"/>
  <c r="BF70" i="26"/>
  <c r="BE73" i="26"/>
  <c r="BE161" i="12"/>
  <c r="BD164" i="12"/>
  <c r="BE211" i="12"/>
  <c r="BE213" i="12" s="1"/>
  <c r="BD137" i="12"/>
  <c r="BG70" i="26" l="1"/>
  <c r="BF73" i="26"/>
  <c r="BD143" i="12"/>
  <c r="BD57" i="26"/>
  <c r="BD59" i="26" s="1"/>
  <c r="BD75" i="26" s="1"/>
  <c r="BD166" i="12"/>
  <c r="BE164" i="12"/>
  <c r="BF161" i="12"/>
  <c r="BF211" i="12"/>
  <c r="BF213" i="12" s="1"/>
  <c r="BE137" i="12"/>
  <c r="BH70" i="26" l="1"/>
  <c r="BG73" i="26"/>
  <c r="BE143" i="12"/>
  <c r="BE57" i="26"/>
  <c r="BE59" i="26" s="1"/>
  <c r="BE75" i="26" s="1"/>
  <c r="BG211" i="12"/>
  <c r="BG213" i="12" s="1"/>
  <c r="BF137" i="12"/>
  <c r="BG161" i="12"/>
  <c r="BF164" i="12"/>
  <c r="BE166" i="12"/>
  <c r="BF143" i="12" l="1"/>
  <c r="BF166" i="12" s="1"/>
  <c r="BF57" i="26"/>
  <c r="BF59" i="26" s="1"/>
  <c r="BF75" i="26" s="1"/>
  <c r="BI70" i="26"/>
  <c r="BH73" i="26"/>
  <c r="BG164" i="12"/>
  <c r="BH161" i="12"/>
  <c r="BG137" i="12"/>
  <c r="BH211" i="12"/>
  <c r="BH213" i="12" s="1"/>
  <c r="BG143" i="12" l="1"/>
  <c r="BG166" i="12" s="1"/>
  <c r="BG57" i="26"/>
  <c r="BG59" i="26" s="1"/>
  <c r="BG75" i="26" s="1"/>
  <c r="BJ70" i="26"/>
  <c r="BI73" i="26"/>
  <c r="BI161" i="12"/>
  <c r="BH164" i="12"/>
  <c r="BI211" i="12"/>
  <c r="BI213" i="12" s="1"/>
  <c r="BH137" i="12"/>
  <c r="BH143" i="12" l="1"/>
  <c r="BH57" i="26"/>
  <c r="BH59" i="26" s="1"/>
  <c r="BH75" i="26" s="1"/>
  <c r="BK70" i="26"/>
  <c r="BJ73" i="26"/>
  <c r="BH166" i="12"/>
  <c r="BI137" i="12"/>
  <c r="BJ211" i="12"/>
  <c r="BJ213" i="12" s="1"/>
  <c r="BI164" i="12"/>
  <c r="BJ161" i="12"/>
  <c r="BI143" i="12" l="1"/>
  <c r="BI166" i="12" s="1"/>
  <c r="BI57" i="26"/>
  <c r="BI59" i="26" s="1"/>
  <c r="BI75" i="26" s="1"/>
  <c r="BL70" i="26"/>
  <c r="BK73" i="26"/>
  <c r="BK161" i="12"/>
  <c r="BJ164" i="12"/>
  <c r="BJ137" i="12"/>
  <c r="BK211" i="12"/>
  <c r="BK213" i="12" s="1"/>
  <c r="BJ143" i="12" l="1"/>
  <c r="BJ166" i="12" s="1"/>
  <c r="BJ57" i="26"/>
  <c r="BJ59" i="26" s="1"/>
  <c r="BJ75" i="26" s="1"/>
  <c r="BM70" i="26"/>
  <c r="BL73" i="26"/>
  <c r="BK137" i="12"/>
  <c r="BL211" i="12"/>
  <c r="BL213" i="12" s="1"/>
  <c r="BL161" i="12"/>
  <c r="BK164" i="12"/>
  <c r="BN70" i="26" l="1"/>
  <c r="BN73" i="26" s="1"/>
  <c r="BM73" i="26"/>
  <c r="BK143" i="12"/>
  <c r="BK57" i="26"/>
  <c r="BK59" i="26" s="1"/>
  <c r="BK75" i="26" s="1"/>
  <c r="BL164" i="12"/>
  <c r="BM161" i="12"/>
  <c r="BM211" i="12"/>
  <c r="BM213" i="12" s="1"/>
  <c r="BL137" i="12"/>
  <c r="BK166" i="12"/>
  <c r="BL143" i="12" l="1"/>
  <c r="BL57" i="26"/>
  <c r="BL59" i="26" s="1"/>
  <c r="BL75" i="26" s="1"/>
  <c r="BL166" i="12"/>
  <c r="BN211" i="12"/>
  <c r="BN213" i="12" s="1"/>
  <c r="BN137" i="12" s="1"/>
  <c r="BM137" i="12"/>
  <c r="BM164" i="12"/>
  <c r="BN161" i="12"/>
  <c r="BN164" i="12" s="1"/>
  <c r="BM143" i="12" l="1"/>
  <c r="BM166" i="12" s="1"/>
  <c r="BM57" i="26"/>
  <c r="BM59" i="26" s="1"/>
  <c r="BM75" i="26" s="1"/>
  <c r="BN143" i="12"/>
  <c r="BN166" i="12" s="1"/>
  <c r="BN57" i="26"/>
  <c r="BN59" i="26" s="1"/>
  <c r="BN75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Moises</author>
  </authors>
  <commentList>
    <comment ref="E60" authorId="0" shapeId="0" xr:uid="{E49F854E-D59B-4044-969E-9296ED4A4CD3}">
      <text>
        <r>
          <rPr>
            <b/>
            <sz val="9"/>
            <color indexed="81"/>
            <rFont val="Tahoma"/>
            <family val="2"/>
          </rPr>
          <t>Moises:</t>
        </r>
        <r>
          <rPr>
            <sz val="9"/>
            <color indexed="81"/>
            <rFont val="Tahoma"/>
            <family val="2"/>
          </rPr>
          <t xml:space="preserve">
Assumed, doesn't matter since we're running at a loss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Moises</author>
  </authors>
  <commentList>
    <comment ref="G56" authorId="0" shapeId="0" xr:uid="{0F0818D6-D91F-4EC5-AE9F-D0A1A2E7EB3F}">
      <text>
        <r>
          <rPr>
            <b/>
            <sz val="9"/>
            <color indexed="81"/>
            <rFont val="Tahoma"/>
            <family val="2"/>
          </rPr>
          <t>Moises:</t>
        </r>
        <r>
          <rPr>
            <sz val="9"/>
            <color indexed="81"/>
            <rFont val="Tahoma"/>
            <family val="2"/>
          </rPr>
          <t xml:space="preserve">
Assumes that there is a first here inmediately upon launch</t>
        </r>
      </text>
    </comment>
    <comment ref="G60" authorId="0" shapeId="0" xr:uid="{958234AC-6619-4F5F-9210-6A5FA1518D77}">
      <text>
        <r>
          <rPr>
            <b/>
            <sz val="9"/>
            <color indexed="81"/>
            <rFont val="Tahoma"/>
            <family val="2"/>
          </rPr>
          <t>Moises:</t>
        </r>
        <r>
          <rPr>
            <sz val="9"/>
            <color indexed="81"/>
            <rFont val="Tahoma"/>
            <family val="2"/>
          </rPr>
          <t xml:space="preserve">
Assumes that there is a first here inmediately upon launch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<sst xmlns="http://schemas.openxmlformats.org/spreadsheetml/2006/main" count="548" uniqueCount="222">
  <si>
    <t>x</t>
  </si>
  <si>
    <t>Date</t>
  </si>
  <si>
    <t>Today</t>
  </si>
  <si>
    <t>Last Modified</t>
  </si>
  <si>
    <t>MB</t>
  </si>
  <si>
    <t>Legend</t>
  </si>
  <si>
    <t>Hardcode</t>
  </si>
  <si>
    <t>Sheet Link</t>
  </si>
  <si>
    <t>Same Sheet Reference</t>
  </si>
  <si>
    <t>Calculation</t>
  </si>
  <si>
    <t>Circ</t>
  </si>
  <si>
    <t>Model Assumptions</t>
  </si>
  <si>
    <t>Subscribers</t>
  </si>
  <si>
    <t>First Month Monthly Subscribers</t>
  </si>
  <si>
    <t>First Month Annual Subscribers</t>
  </si>
  <si>
    <t>Assumptions</t>
  </si>
  <si>
    <t>Monthly Subscribers</t>
  </si>
  <si>
    <t>New Monthly Subscriber Growth</t>
  </si>
  <si>
    <t>New Annual Subscriber Growth</t>
  </si>
  <si>
    <t>% growth</t>
  </si>
  <si>
    <t>Annual Subscribers</t>
  </si>
  <si>
    <t>New Subscribers</t>
  </si>
  <si>
    <t>New Monthly Subscribers</t>
  </si>
  <si>
    <t>(+) New Subscribers</t>
  </si>
  <si>
    <t>(–) Churned Subscribers</t>
  </si>
  <si>
    <t>Active Monthly Subscribers</t>
  </si>
  <si>
    <t>Monthly Retention Rate</t>
  </si>
  <si>
    <t>Annual Retention Rate</t>
  </si>
  <si>
    <t>Active Annual Subscribers</t>
  </si>
  <si>
    <t>Previous Month Active Subscribers</t>
  </si>
  <si>
    <t>Bookings</t>
  </si>
  <si>
    <t>Monthly Plan Price / month</t>
  </si>
  <si>
    <t>Annual Plan Price / year</t>
  </si>
  <si>
    <t>Total Subscribers</t>
  </si>
  <si>
    <t>Monthly Plan Bookings</t>
  </si>
  <si>
    <t>Total Bookings</t>
  </si>
  <si>
    <t>Annual Plan Bookings</t>
  </si>
  <si>
    <t>Memo: Renewals</t>
  </si>
  <si>
    <t>New Annual Subscribers</t>
  </si>
  <si>
    <t>(+) Renewals</t>
  </si>
  <si>
    <t>Total Annual Subscribers</t>
  </si>
  <si>
    <t>Revenue</t>
  </si>
  <si>
    <t>Monthly Plan Revenue</t>
  </si>
  <si>
    <t>Annual Plan Monthly Revenue</t>
  </si>
  <si>
    <t>ARR</t>
  </si>
  <si>
    <t>MRR</t>
  </si>
  <si>
    <t>Monthly Plan Subscribers</t>
  </si>
  <si>
    <t>Annual Plan Subscribers</t>
  </si>
  <si>
    <t>Deferred Revenue</t>
  </si>
  <si>
    <t>Revenue (MRR)</t>
  </si>
  <si>
    <t>Income Statement</t>
  </si>
  <si>
    <t>COGS</t>
  </si>
  <si>
    <t>Costs</t>
  </si>
  <si>
    <t>Gross Profit</t>
  </si>
  <si>
    <t>OPEX</t>
  </si>
  <si>
    <t>% revenue</t>
  </si>
  <si>
    <t>Payroll &amp; Headcount</t>
  </si>
  <si>
    <t>Engineering Headcount</t>
  </si>
  <si>
    <t>Engineering Base Payroll</t>
  </si>
  <si>
    <t>Engineering Base Monthly Salary</t>
  </si>
  <si>
    <t>Summary Data</t>
  </si>
  <si>
    <t>Total Active Subscribers</t>
  </si>
  <si>
    <t>Customer Support Headcount</t>
  </si>
  <si>
    <t>Customer Support Base Monthly Salary</t>
  </si>
  <si>
    <t>Customer Support Base Payrolll</t>
  </si>
  <si>
    <t>Customers per Support Representative</t>
  </si>
  <si>
    <t>Executive Headcount</t>
  </si>
  <si>
    <t>Executive Monthly Salary</t>
  </si>
  <si>
    <t>Executive Base Payroll</t>
  </si>
  <si>
    <t>Executive Hiring ARR Milestone</t>
  </si>
  <si>
    <t>CEO Base Payroll</t>
  </si>
  <si>
    <t>CTO Base Payroll</t>
  </si>
  <si>
    <t>Total Base Payroll</t>
  </si>
  <si>
    <t>% margin</t>
  </si>
  <si>
    <t>General &amp; Administrative</t>
  </si>
  <si>
    <t>G&amp;A</t>
  </si>
  <si>
    <t>Sales &amp; Marketing</t>
  </si>
  <si>
    <t>Customer Acquisition Costs (CAC)</t>
  </si>
  <si>
    <t>Total New Subscribers</t>
  </si>
  <si>
    <t>C-Suite Headcount</t>
  </si>
  <si>
    <t>Total Headcount</t>
  </si>
  <si>
    <t>Facilities</t>
  </si>
  <si>
    <t>CEO Payroll / year</t>
  </si>
  <si>
    <t>CTO Payroll / year</t>
  </si>
  <si>
    <t>Engineer Payroll / year</t>
  </si>
  <si>
    <t>Support Representative Payroll / year</t>
  </si>
  <si>
    <t>Executive Payroll / year</t>
  </si>
  <si>
    <t>Rent / month</t>
  </si>
  <si>
    <t>First Office Capacity (People)</t>
  </si>
  <si>
    <t>Utilities / month</t>
  </si>
  <si>
    <t>Rent</t>
  </si>
  <si>
    <t>Offices</t>
  </si>
  <si>
    <t>Utilities</t>
  </si>
  <si>
    <t>Total Facilities Costs</t>
  </si>
  <si>
    <t>Miscellaneous Expenses</t>
  </si>
  <si>
    <t>Miscellaneous</t>
  </si>
  <si>
    <t>Miscellaneous Expenses (% revenue)</t>
  </si>
  <si>
    <t>Payroll</t>
  </si>
  <si>
    <t>S&amp;M</t>
  </si>
  <si>
    <t>C-Suite Base Payroll</t>
  </si>
  <si>
    <t>Fringe Costs of Gross Wages</t>
  </si>
  <si>
    <t>Taxes</t>
  </si>
  <si>
    <t>Net Operating Losses</t>
  </si>
  <si>
    <t>Beginning Balance</t>
  </si>
  <si>
    <t>NOL Utilized</t>
  </si>
  <si>
    <t>Ending Balance</t>
  </si>
  <si>
    <t>Taxable Income</t>
  </si>
  <si>
    <t>Taxes (%)</t>
  </si>
  <si>
    <t>Tax Expense</t>
  </si>
  <si>
    <t>Effective Tax Rate %</t>
  </si>
  <si>
    <t>Net Income</t>
  </si>
  <si>
    <t>Balance Sheet</t>
  </si>
  <si>
    <t>Cash Flow Statement</t>
  </si>
  <si>
    <t>Cash from Operations</t>
  </si>
  <si>
    <t>Cash from Investing</t>
  </si>
  <si>
    <t>Cash from Financing</t>
  </si>
  <si>
    <t>Net Cash Flow</t>
  </si>
  <si>
    <t>Beginning Cash</t>
  </si>
  <si>
    <t>Ending Cash</t>
  </si>
  <si>
    <t>Balance Sheet Check</t>
  </si>
  <si>
    <t>Assets</t>
  </si>
  <si>
    <t>Equity</t>
  </si>
  <si>
    <t>Liabilities</t>
  </si>
  <si>
    <t>Total Assets</t>
  </si>
  <si>
    <t>Total Liabilities</t>
  </si>
  <si>
    <t>Total Equity</t>
  </si>
  <si>
    <t>Cash &amp; Cash Equivalents</t>
  </si>
  <si>
    <t>Founder's Equity</t>
  </si>
  <si>
    <t>Retained Earnings</t>
  </si>
  <si>
    <t>Accounts Receivable</t>
  </si>
  <si>
    <t>DSO</t>
  </si>
  <si>
    <t>Revenue (ARR)</t>
  </si>
  <si>
    <t>Accounts Payable</t>
  </si>
  <si>
    <t>% ARR</t>
  </si>
  <si>
    <t>Other Current Liabilities</t>
  </si>
  <si>
    <t>OCL % ARR</t>
  </si>
  <si>
    <t>OCL % ARR – Quarterly Decrease</t>
  </si>
  <si>
    <t>Equity Financing</t>
  </si>
  <si>
    <t>(Increase) / Decrease in AR</t>
  </si>
  <si>
    <t>Cash Balance December 2025</t>
  </si>
  <si>
    <t>No Fundraise</t>
  </si>
  <si>
    <t>Funds to Raise</t>
  </si>
  <si>
    <t>Fundraise</t>
  </si>
  <si>
    <t>Deferred Revenue (MRR)</t>
  </si>
  <si>
    <t>Increase / (Decrease) in AP</t>
  </si>
  <si>
    <t>Increase / (Decrease) in OCL</t>
  </si>
  <si>
    <t>Increase / (Decrease) in Deferred Revenue</t>
  </si>
  <si>
    <t>Runway Month</t>
  </si>
  <si>
    <t>Runway Date</t>
  </si>
  <si>
    <t>Memo: Fundraising Start</t>
  </si>
  <si>
    <t>Operating Profit</t>
  </si>
  <si>
    <t>Active Total Subscribers</t>
  </si>
  <si>
    <t>Monthly Plan Monthly Revenue</t>
  </si>
  <si>
    <t>Monthly Plan Annual Revenue</t>
  </si>
  <si>
    <t>Annual Plan Annual Revenue</t>
  </si>
  <si>
    <t>Monthly Plan ARPU (Monthly)</t>
  </si>
  <si>
    <t>Annual Plan ARPU (Monthly)</t>
  </si>
  <si>
    <t>Blended ARPU (Monthly)</t>
  </si>
  <si>
    <t>Monthly Plan ARPU (Annual)</t>
  </si>
  <si>
    <t>Annual Plan ARPU (Annual)</t>
  </si>
  <si>
    <t>Blended ARPU (Annual)</t>
  </si>
  <si>
    <t>Blended LTV (Monthly)</t>
  </si>
  <si>
    <t>Blended LTV (Annual)</t>
  </si>
  <si>
    <t>Blended LTV / CAC</t>
  </si>
  <si>
    <t>Annual LTV Metrics</t>
  </si>
  <si>
    <t>Monthly LTV Metrics</t>
  </si>
  <si>
    <t>LTV : CAC</t>
  </si>
  <si>
    <t>Balance</t>
  </si>
  <si>
    <t>P&amp;L Metrics</t>
  </si>
  <si>
    <t>Subscriber Metrics</t>
  </si>
  <si>
    <t>Cash Metrics</t>
  </si>
  <si>
    <t>Net New ARR</t>
  </si>
  <si>
    <t>Burn Multiple</t>
  </si>
  <si>
    <t>Monthly Plan Subscriber Lifetime (Months)</t>
  </si>
  <si>
    <t>Annual Plan Subscriber Lifetime (Months)</t>
  </si>
  <si>
    <t>Blended Subscriber Lifetime (Months)</t>
  </si>
  <si>
    <t>Monthly Plan Subscriber Lifetime (Years)</t>
  </si>
  <si>
    <t>Annual Plan Subscriber Lifetime (Years)</t>
  </si>
  <si>
    <t>Monthly Plan Subscriber LTV / CAC</t>
  </si>
  <si>
    <t>Annual Plan Subscriber LTV / CAC</t>
  </si>
  <si>
    <t>Blended Payback Period</t>
  </si>
  <si>
    <t>Blended Lifetime (Annual)</t>
  </si>
  <si>
    <t>Monthly Plan Subscriber Payback Period (Months)</t>
  </si>
  <si>
    <t>Annual Plan Subscriber Payback Period (Months)</t>
  </si>
  <si>
    <t>This sheet was intentionally left blank</t>
  </si>
  <si>
    <t>Monthly Subscribers CAC</t>
  </si>
  <si>
    <t>Annual Subscribers CAC</t>
  </si>
  <si>
    <t>CAC</t>
  </si>
  <si>
    <t>Funding Needed</t>
  </si>
  <si>
    <t>Churn Rate</t>
  </si>
  <si>
    <t>LTV</t>
  </si>
  <si>
    <t>LTV/CAC</t>
  </si>
  <si>
    <t>Monthly Plan Subscriber LTV</t>
  </si>
  <si>
    <t>Annual Plan Subscriber LTV</t>
  </si>
  <si>
    <t>Payback (months)</t>
  </si>
  <si>
    <t>ARPU (Monthly)</t>
  </si>
  <si>
    <t>Lifetime (months)</t>
  </si>
  <si>
    <t>Active Subscribers</t>
  </si>
  <si>
    <t>Total CAC</t>
  </si>
  <si>
    <t>Deferred Revenue Balance</t>
  </si>
  <si>
    <t>SaaS Financial Model</t>
  </si>
  <si>
    <t>Blended / Total</t>
  </si>
  <si>
    <t>YoY Growth %</t>
  </si>
  <si>
    <t>Tech Stack Fees</t>
  </si>
  <si>
    <t>Yearly Savings</t>
  </si>
  <si>
    <t>Yearly Base Salary Increase</t>
  </si>
  <si>
    <t>Additional Costs of Gross Wages</t>
  </si>
  <si>
    <t>Total Gross Payroll</t>
  </si>
  <si>
    <t>Base Gross Payroll</t>
  </si>
  <si>
    <t>G&amp;A % revenue</t>
  </si>
  <si>
    <t>Annual Subscriber CAC</t>
  </si>
  <si>
    <t>Monthly Subscriber CAC</t>
  </si>
  <si>
    <t>Total Monthly Subscriber CAC</t>
  </si>
  <si>
    <t>Total Annual Subscriber CAC</t>
  </si>
  <si>
    <t>Monthly Subs CAC Quarterly Improvement</t>
  </si>
  <si>
    <t>Annual Subs CAC Quarterly Improvement</t>
  </si>
  <si>
    <t>Accounts Payable % ARR</t>
  </si>
  <si>
    <t>End of Period Cash Balance</t>
  </si>
  <si>
    <t>Monthly Subscribers Total CAC</t>
  </si>
  <si>
    <t>Annual Subscribers Total CAC</t>
  </si>
  <si>
    <t>Blended CAC</t>
  </si>
  <si>
    <t>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</si>
</sst>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&quot;$&quot;#,##0_);\(&quot;$&quot;#,##0\)"/>
    <numFmt numFmtId="165" formatCode="&quot;$&quot;#,##0.00_);\(&quot;$&quot;#,##0.00\)"/>
    <numFmt numFmtId="166" formatCode="&quot;$&quot;#,##0.00_);[Red]\(&quot;$&quot;#,##0.00\)"/>
    <numFmt numFmtId="167" formatCode="#,##0_);\(#,##0\);&quot;–&quot;"/>
    <numFmt numFmtId="168" formatCode="&quot;ON&quot;;;&quot;OFF&quot;"/>
    <numFmt numFmtId="169" formatCode="&quot;Month &quot;0"/>
    <numFmt numFmtId="170" formatCode="#,##0_);\(#,##0\);\–_-"/>
    <numFmt numFmtId="171" formatCode="0.0%_);\(0.0%\);\–_-"/>
    <numFmt numFmtId="172" formatCode="0%_);\(0%\);\–_-"/>
    <numFmt numFmtId="173" formatCode="&quot;$&quot;#,##0_);\(&quot;$&quot;#,##0\);\–_-"/>
    <numFmt numFmtId="174" formatCode="#,##0.0_);\(#,##0.0\);\–_-"/>
    <numFmt numFmtId="175" formatCode="#,##0.00_);\(#,##0.00\);\–_-"/>
    <numFmt numFmtId="176" formatCode="&quot;Q&quot;0"/>
    <numFmt numFmtId="177" formatCode="#,##0.0\x_);\(#,##0.0\x\);\–_-"/>
    <numFmt numFmtId="178" formatCode="&quot;$&quot;#,##0.0_);\(&quot;$&quot;#,##0.0\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465926084170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9" tint="-0.2499465926084170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9" tint="-0.2499465926084170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9" tint="-0.2499465926084170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lightUp">
        <bgColor theme="0" tint="-0.14996795556505021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6" fillId="0" borderId="0"/>
    <xf numFmtId="164" fontId="5" fillId="0" borderId="0"/>
    <xf numFmtId="0" fontId="9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3" fillId="2" borderId="1" xfId="0" applyFont="1" applyFill="1" applyBorder="1"/>
    <xf numFmtId="0" fontId="4" fillId="0" borderId="0" xfId="0" applyFont="1"/>
    <xf numFmtId="0" fontId="3" fillId="0" borderId="0" xfId="0" applyFont="1"/>
    <xf numFmtId="0" fontId="7" fillId="0" borderId="0" xfId="0" applyFont="1"/>
    <xf numFmtId="0" fontId="0" fillId="4" borderId="0" xfId="0" applyFill="1"/>
    <xf numFmtId="0" fontId="2" fillId="4" borderId="0" xfId="0" applyFont="1" applyFill="1"/>
    <xf numFmtId="165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3" fillId="0" borderId="0" xfId="0" applyFont="1" applyAlignment="1">
      <alignment horizontal="center"/>
    </xf>
    <xf numFmtId="164" fontId="5" fillId="0" borderId="0" xfId="3"/>
    <xf numFmtId="168" fontId="10" fillId="3" borderId="7" xfId="2" applyNumberFormat="1" applyFont="1" applyFill="1" applyBorder="1" applyAlignment="1">
      <alignment horizontal="center"/>
    </xf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left" indent="1"/>
    </xf>
    <xf numFmtId="0" fontId="7" fillId="0" borderId="0" xfId="0" applyFont="1" applyAlignment="1">
      <alignment horizontal="left" indent="1"/>
    </xf>
    <xf numFmtId="170" fontId="6" fillId="0" borderId="0" xfId="2" applyNumberFormat="1"/>
    <xf numFmtId="170" fontId="5" fillId="0" borderId="0" xfId="3" applyNumberFormat="1"/>
    <xf numFmtId="170" fontId="0" fillId="0" borderId="0" xfId="0" applyNumberFormat="1"/>
    <xf numFmtId="172" fontId="20" fillId="0" borderId="0" xfId="1" applyNumberFormat="1" applyFont="1"/>
    <xf numFmtId="170" fontId="8" fillId="0" borderId="0" xfId="3" applyNumberFormat="1" applyFont="1"/>
    <xf numFmtId="0" fontId="3" fillId="2" borderId="2" xfId="0" applyFont="1" applyFill="1" applyBorder="1"/>
    <xf numFmtId="0" fontId="0" fillId="2" borderId="2" xfId="0" applyFill="1" applyBorder="1"/>
    <xf numFmtId="170" fontId="3" fillId="2" borderId="2" xfId="0" applyNumberFormat="1" applyFont="1" applyFill="1" applyBorder="1"/>
    <xf numFmtId="173" fontId="0" fillId="0" borderId="0" xfId="0" applyNumberFormat="1"/>
    <xf numFmtId="0" fontId="3" fillId="5" borderId="2" xfId="0" applyFont="1" applyFill="1" applyBorder="1"/>
    <xf numFmtId="170" fontId="3" fillId="5" borderId="2" xfId="0" applyNumberFormat="1" applyFont="1" applyFill="1" applyBorder="1"/>
    <xf numFmtId="173" fontId="5" fillId="0" borderId="0" xfId="3" applyNumberFormat="1"/>
    <xf numFmtId="173" fontId="3" fillId="0" borderId="0" xfId="0" applyNumberFormat="1" applyFont="1"/>
    <xf numFmtId="173" fontId="3" fillId="2" borderId="2" xfId="0" applyNumberFormat="1" applyFont="1" applyFill="1" applyBorder="1"/>
    <xf numFmtId="173" fontId="3" fillId="5" borderId="2" xfId="0" applyNumberFormat="1" applyFont="1" applyFill="1" applyBorder="1"/>
    <xf numFmtId="170" fontId="3" fillId="0" borderId="0" xfId="0" applyNumberFormat="1" applyFont="1"/>
    <xf numFmtId="170" fontId="7" fillId="0" borderId="0" xfId="0" applyNumberFormat="1" applyFont="1"/>
    <xf numFmtId="170" fontId="21" fillId="0" borderId="0" xfId="3" applyNumberFormat="1" applyFont="1"/>
    <xf numFmtId="0" fontId="3" fillId="0" borderId="2" xfId="0" applyFont="1" applyBorder="1"/>
    <xf numFmtId="170" fontId="11" fillId="0" borderId="2" xfId="3" applyNumberFormat="1" applyFont="1" applyBorder="1"/>
    <xf numFmtId="173" fontId="0" fillId="0" borderId="2" xfId="0" applyNumberFormat="1" applyBorder="1"/>
    <xf numFmtId="0" fontId="0" fillId="5" borderId="2" xfId="0" applyFill="1" applyBorder="1"/>
    <xf numFmtId="175" fontId="0" fillId="0" borderId="0" xfId="0" applyNumberFormat="1"/>
    <xf numFmtId="17" fontId="7" fillId="0" borderId="0" xfId="0" applyNumberFormat="1" applyFont="1" applyAlignment="1">
      <alignment horizontal="center"/>
    </xf>
    <xf numFmtId="173" fontId="9" fillId="0" borderId="0" xfId="4" applyNumberFormat="1"/>
    <xf numFmtId="17" fontId="3" fillId="2" borderId="1" xfId="0" applyNumberFormat="1" applyFont="1" applyFill="1" applyBorder="1" applyAlignment="1">
      <alignment horizontal="center"/>
    </xf>
    <xf numFmtId="172" fontId="21" fillId="0" borderId="0" xfId="1" applyNumberFormat="1" applyFont="1"/>
    <xf numFmtId="0" fontId="2" fillId="6" borderId="0" xfId="0" applyFont="1" applyFill="1"/>
    <xf numFmtId="0" fontId="0" fillId="6" borderId="0" xfId="0" applyFill="1"/>
    <xf numFmtId="173" fontId="3" fillId="0" borderId="2" xfId="0" applyNumberFormat="1" applyFont="1" applyBorder="1"/>
    <xf numFmtId="0" fontId="0" fillId="7" borderId="0" xfId="0" applyFill="1"/>
    <xf numFmtId="0" fontId="3" fillId="7" borderId="1" xfId="0" applyFont="1" applyFill="1" applyBorder="1"/>
    <xf numFmtId="169" fontId="3" fillId="7" borderId="1" xfId="0" applyNumberFormat="1" applyFont="1" applyFill="1" applyBorder="1" applyAlignment="1">
      <alignment horizontal="center"/>
    </xf>
    <xf numFmtId="17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7" fontId="18" fillId="7" borderId="0" xfId="0" applyNumberFormat="1" applyFont="1" applyFill="1" applyAlignment="1">
      <alignment horizontal="center"/>
    </xf>
    <xf numFmtId="170" fontId="9" fillId="0" borderId="0" xfId="4" applyNumberFormat="1"/>
    <xf numFmtId="0" fontId="18" fillId="0" borderId="0" xfId="0" applyFont="1" applyAlignment="1">
      <alignment horizontal="center"/>
    </xf>
    <xf numFmtId="173" fontId="8" fillId="0" borderId="2" xfId="4" applyNumberFormat="1" applyFont="1" applyBorder="1"/>
    <xf numFmtId="173" fontId="9" fillId="0" borderId="0" xfId="4" applyNumberFormat="1" applyAlignment="1">
      <alignment horizontal="center"/>
    </xf>
    <xf numFmtId="173" fontId="8" fillId="0" borderId="2" xfId="4" applyNumberFormat="1" applyFont="1" applyBorder="1" applyAlignment="1">
      <alignment horizontal="center"/>
    </xf>
    <xf numFmtId="170" fontId="9" fillId="0" borderId="0" xfId="4" applyNumberFormat="1" applyAlignment="1">
      <alignment horizontal="center"/>
    </xf>
    <xf numFmtId="172" fontId="24" fillId="0" borderId="0" xfId="4" applyNumberFormat="1" applyFont="1" applyAlignment="1">
      <alignment horizontal="center"/>
    </xf>
    <xf numFmtId="172" fontId="7" fillId="0" borderId="0" xfId="0" applyNumberFormat="1" applyFont="1"/>
    <xf numFmtId="172" fontId="20" fillId="0" borderId="0" xfId="3" applyNumberFormat="1" applyFont="1"/>
    <xf numFmtId="170" fontId="0" fillId="0" borderId="2" xfId="0" applyNumberFormat="1" applyBorder="1"/>
    <xf numFmtId="173" fontId="15" fillId="0" borderId="0" xfId="4" applyNumberFormat="1" applyFont="1" applyAlignment="1">
      <alignment horizontal="center"/>
    </xf>
    <xf numFmtId="173" fontId="9" fillId="0" borderId="0" xfId="4" applyNumberFormat="1" applyAlignment="1">
      <alignment horizontal="right"/>
    </xf>
    <xf numFmtId="171" fontId="24" fillId="0" borderId="0" xfId="4" applyNumberFormat="1" applyFont="1" applyAlignment="1">
      <alignment horizontal="center"/>
    </xf>
    <xf numFmtId="171" fontId="20" fillId="0" borderId="0" xfId="3" applyNumberFormat="1" applyFont="1"/>
    <xf numFmtId="173" fontId="8" fillId="0" borderId="0" xfId="3" applyNumberFormat="1" applyFont="1"/>
    <xf numFmtId="0" fontId="3" fillId="8" borderId="10" xfId="0" applyFont="1" applyFill="1" applyBorder="1"/>
    <xf numFmtId="0" fontId="0" fillId="8" borderId="11" xfId="0" applyFill="1" applyBorder="1"/>
    <xf numFmtId="173" fontId="3" fillId="8" borderId="12" xfId="0" applyNumberFormat="1" applyFont="1" applyFill="1" applyBorder="1"/>
    <xf numFmtId="166" fontId="21" fillId="0" borderId="0" xfId="1" applyNumberFormat="1" applyFont="1"/>
    <xf numFmtId="17" fontId="0" fillId="0" borderId="0" xfId="0" applyNumberFormat="1" applyAlignment="1">
      <alignment horizontal="right"/>
    </xf>
    <xf numFmtId="173" fontId="5" fillId="0" borderId="0" xfId="3" applyNumberFormat="1" applyAlignment="1">
      <alignment horizontal="center"/>
    </xf>
    <xf numFmtId="172" fontId="21" fillId="0" borderId="0" xfId="1" applyNumberFormat="1" applyFont="1" applyAlignment="1">
      <alignment horizontal="right"/>
    </xf>
    <xf numFmtId="9" fontId="19" fillId="0" borderId="1" xfId="1" applyFont="1" applyFill="1" applyBorder="1" applyAlignment="1">
      <alignment horizontal="center"/>
    </xf>
    <xf numFmtId="9" fontId="24" fillId="0" borderId="0" xfId="1" applyFont="1" applyFill="1" applyBorder="1" applyAlignment="1">
      <alignment horizontal="center"/>
    </xf>
    <xf numFmtId="173" fontId="7" fillId="0" borderId="0" xfId="0" applyNumberFormat="1" applyFont="1"/>
    <xf numFmtId="164" fontId="12" fillId="2" borderId="2" xfId="3" applyFont="1" applyFill="1" applyBorder="1" applyAlignment="1">
      <alignment horizontal="center"/>
    </xf>
    <xf numFmtId="177" fontId="3" fillId="2" borderId="2" xfId="0" applyNumberFormat="1" applyFont="1" applyFill="1" applyBorder="1"/>
    <xf numFmtId="0" fontId="0" fillId="0" borderId="0" xfId="0" applyAlignment="1">
      <alignment horizontal="left"/>
    </xf>
    <xf numFmtId="164" fontId="12" fillId="0" borderId="0" xfId="3" applyFont="1" applyAlignment="1">
      <alignment horizontal="center"/>
    </xf>
    <xf numFmtId="175" fontId="3" fillId="2" borderId="2" xfId="0" applyNumberFormat="1" applyFont="1" applyFill="1" applyBorder="1"/>
    <xf numFmtId="177" fontId="3" fillId="0" borderId="0" xfId="0" applyNumberFormat="1" applyFont="1"/>
    <xf numFmtId="0" fontId="3" fillId="2" borderId="1" xfId="0" applyFont="1" applyFill="1" applyBorder="1" applyAlignment="1">
      <alignment horizontal="center"/>
    </xf>
    <xf numFmtId="17" fontId="2" fillId="4" borderId="0" xfId="0" applyNumberFormat="1" applyFont="1" applyFill="1" applyAlignment="1">
      <alignment horizontal="left"/>
    </xf>
    <xf numFmtId="0" fontId="3" fillId="2" borderId="1" xfId="0" applyFont="1" applyFill="1" applyBorder="1" applyAlignment="1">
      <alignment horizontal="centerContinuous"/>
    </xf>
    <xf numFmtId="0" fontId="3" fillId="2" borderId="0" xfId="0" applyFont="1" applyFill="1"/>
    <xf numFmtId="174" fontId="0" fillId="0" borderId="0" xfId="0" applyNumberFormat="1"/>
    <xf numFmtId="174" fontId="3" fillId="2" borderId="2" xfId="0" applyNumberFormat="1" applyFont="1" applyFill="1" applyBorder="1"/>
    <xf numFmtId="0" fontId="16" fillId="0" borderId="9" xfId="0" applyFont="1" applyBorder="1"/>
    <xf numFmtId="0" fontId="0" fillId="0" borderId="14" xfId="0" applyBorder="1"/>
    <xf numFmtId="0" fontId="0" fillId="0" borderId="15" xfId="0" applyBorder="1"/>
    <xf numFmtId="0" fontId="4" fillId="0" borderId="8" xfId="0" applyFont="1" applyBorder="1"/>
    <xf numFmtId="167" fontId="6" fillId="0" borderId="15" xfId="2" applyNumberFormat="1" applyBorder="1"/>
    <xf numFmtId="9" fontId="17" fillId="0" borderId="15" xfId="2" applyNumberFormat="1" applyFont="1" applyBorder="1"/>
    <xf numFmtId="0" fontId="3" fillId="0" borderId="8" xfId="0" applyFont="1" applyBorder="1"/>
    <xf numFmtId="173" fontId="6" fillId="0" borderId="15" xfId="2" applyNumberFormat="1" applyBorder="1"/>
    <xf numFmtId="0" fontId="18" fillId="0" borderId="8" xfId="0" applyFont="1" applyBorder="1"/>
    <xf numFmtId="171" fontId="17" fillId="0" borderId="15" xfId="2" applyNumberFormat="1" applyFont="1" applyBorder="1"/>
    <xf numFmtId="0" fontId="0" fillId="0" borderId="13" xfId="0" applyBorder="1"/>
    <xf numFmtId="0" fontId="0" fillId="0" borderId="1" xfId="0" applyBorder="1"/>
    <xf numFmtId="173" fontId="6" fillId="0" borderId="16" xfId="2" applyNumberFormat="1" applyBorder="1"/>
    <xf numFmtId="0" fontId="13" fillId="0" borderId="0" xfId="0" applyFont="1"/>
    <xf numFmtId="0" fontId="14" fillId="0" borderId="0" xfId="0" applyFont="1"/>
    <xf numFmtId="14" fontId="3" fillId="0" borderId="0" xfId="0" applyNumberFormat="1" applyFont="1" applyAlignment="1">
      <alignment horizontal="center"/>
    </xf>
    <xf numFmtId="164" fontId="10" fillId="0" borderId="0" xfId="2" applyFont="1" applyAlignment="1">
      <alignment horizontal="center"/>
    </xf>
    <xf numFmtId="164" fontId="10" fillId="0" borderId="0" xfId="2" applyFont="1"/>
    <xf numFmtId="0" fontId="15" fillId="0" borderId="0" xfId="4" applyFont="1"/>
    <xf numFmtId="164" fontId="12" fillId="0" borderId="0" xfId="3" applyFont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6" xfId="0" applyBorder="1"/>
    <xf numFmtId="0" fontId="3" fillId="0" borderId="17" xfId="0" applyFont="1" applyBorder="1"/>
    <xf numFmtId="0" fontId="3" fillId="0" borderId="18" xfId="0" applyFont="1" applyBorder="1"/>
    <xf numFmtId="170" fontId="15" fillId="0" borderId="19" xfId="4" applyNumberFormat="1" applyFont="1" applyBorder="1" applyAlignment="1">
      <alignment horizontal="right"/>
    </xf>
    <xf numFmtId="0" fontId="3" fillId="0" borderId="20" xfId="0" applyFont="1" applyBorder="1"/>
    <xf numFmtId="17" fontId="15" fillId="0" borderId="21" xfId="4" applyNumberFormat="1" applyFont="1" applyBorder="1" applyAlignment="1">
      <alignment horizontal="right"/>
    </xf>
    <xf numFmtId="0" fontId="3" fillId="0" borderId="22" xfId="0" applyFont="1" applyBorder="1"/>
    <xf numFmtId="0" fontId="3" fillId="0" borderId="23" xfId="0" applyFont="1" applyBorder="1"/>
    <xf numFmtId="173" fontId="15" fillId="0" borderId="24" xfId="4" applyNumberFormat="1" applyFont="1" applyBorder="1"/>
    <xf numFmtId="173" fontId="15" fillId="0" borderId="0" xfId="4" applyNumberFormat="1" applyFont="1"/>
    <xf numFmtId="178" fontId="0" fillId="0" borderId="0" xfId="0" applyNumberFormat="1"/>
    <xf numFmtId="0" fontId="25" fillId="0" borderId="0" xfId="0" applyFont="1"/>
    <xf numFmtId="0" fontId="3" fillId="0" borderId="3" xfId="0" applyFont="1" applyBorder="1"/>
    <xf numFmtId="0" fontId="3" fillId="0" borderId="6" xfId="0" applyFont="1" applyBorder="1"/>
    <xf numFmtId="14" fontId="12" fillId="0" borderId="0" xfId="3" applyNumberFormat="1" applyFont="1"/>
    <xf numFmtId="0" fontId="3" fillId="0" borderId="1" xfId="0" applyFont="1" applyBorder="1"/>
    <xf numFmtId="0" fontId="3" fillId="0" borderId="28" xfId="0" applyFont="1" applyBorder="1"/>
    <xf numFmtId="167" fontId="15" fillId="0" borderId="0" xfId="4" applyNumberFormat="1" applyFont="1" applyAlignment="1">
      <alignment horizontal="center"/>
    </xf>
    <xf numFmtId="9" fontId="19" fillId="0" borderId="0" xfId="1" applyFont="1" applyFill="1" applyBorder="1" applyAlignment="1">
      <alignment horizontal="center"/>
    </xf>
    <xf numFmtId="173" fontId="15" fillId="0" borderId="0" xfId="1" applyNumberFormat="1" applyFont="1" applyFill="1" applyBorder="1" applyAlignment="1">
      <alignment horizontal="center"/>
    </xf>
    <xf numFmtId="17" fontId="9" fillId="0" borderId="0" xfId="4" applyNumberFormat="1"/>
    <xf numFmtId="17" fontId="2" fillId="2" borderId="0" xfId="0" applyNumberFormat="1" applyFont="1" applyFill="1" applyAlignment="1">
      <alignment horizontal="left"/>
    </xf>
    <xf numFmtId="170" fontId="9" fillId="0" borderId="0" xfId="4" applyNumberFormat="1" applyAlignment="1">
      <alignment horizontal="right" indent="1"/>
    </xf>
    <xf numFmtId="17" fontId="7" fillId="0" borderId="0" xfId="0" applyNumberFormat="1" applyFont="1" applyAlignment="1">
      <alignment horizontal="right" indent="1"/>
    </xf>
    <xf numFmtId="0" fontId="0" fillId="0" borderId="0" xfId="0" applyAlignment="1">
      <alignment horizontal="right" indent="1"/>
    </xf>
    <xf numFmtId="170" fontId="0" fillId="0" borderId="0" xfId="0" applyNumberFormat="1" applyAlignment="1">
      <alignment horizontal="right" indent="1"/>
    </xf>
    <xf numFmtId="173" fontId="0" fillId="0" borderId="0" xfId="0" applyNumberFormat="1" applyAlignment="1">
      <alignment horizontal="right" indent="1"/>
    </xf>
    <xf numFmtId="173" fontId="9" fillId="0" borderId="0" xfId="4" applyNumberFormat="1" applyAlignment="1">
      <alignment horizontal="right" indent="1"/>
    </xf>
    <xf numFmtId="9" fontId="24" fillId="0" borderId="0" xfId="1" applyFont="1" applyFill="1" applyBorder="1" applyAlignment="1">
      <alignment horizontal="right" indent="1"/>
    </xf>
    <xf numFmtId="174" fontId="9" fillId="0" borderId="0" xfId="4" applyNumberFormat="1" applyAlignment="1">
      <alignment horizontal="right" indent="1"/>
    </xf>
    <xf numFmtId="177" fontId="0" fillId="0" borderId="0" xfId="0" applyNumberFormat="1" applyAlignment="1">
      <alignment horizontal="right" indent="1"/>
    </xf>
    <xf numFmtId="177" fontId="9" fillId="0" borderId="0" xfId="4" applyNumberFormat="1" applyAlignment="1">
      <alignment horizontal="right" indent="1"/>
    </xf>
    <xf numFmtId="171" fontId="24" fillId="0" borderId="0" xfId="1" applyNumberFormat="1" applyFont="1" applyFill="1" applyBorder="1" applyAlignment="1">
      <alignment horizontal="right" indent="1"/>
    </xf>
    <xf numFmtId="171" fontId="7" fillId="0" borderId="0" xfId="0" applyNumberFormat="1" applyFont="1" applyAlignment="1">
      <alignment horizontal="right" indent="1"/>
    </xf>
    <xf numFmtId="173" fontId="3" fillId="2" borderId="0" xfId="0" applyNumberFormat="1" applyFont="1" applyFill="1" applyAlignment="1">
      <alignment horizontal="right" indent="1"/>
    </xf>
    <xf numFmtId="170" fontId="3" fillId="2" borderId="0" xfId="0" applyNumberFormat="1" applyFont="1" applyFill="1" applyAlignment="1">
      <alignment horizontal="right" indent="1"/>
    </xf>
    <xf numFmtId="173" fontId="15" fillId="2" borderId="0" xfId="4" applyNumberFormat="1" applyFont="1" applyFill="1" applyAlignment="1">
      <alignment horizontal="right" indent="1"/>
    </xf>
    <xf numFmtId="173" fontId="9" fillId="9" borderId="0" xfId="4" applyNumberFormat="1" applyFill="1" applyAlignment="1">
      <alignment horizontal="right" indent="1"/>
    </xf>
    <xf numFmtId="0" fontId="4" fillId="7" borderId="1" xfId="0" applyFont="1" applyFill="1" applyBorder="1" applyAlignment="1">
      <alignment horizontal="center"/>
    </xf>
    <xf numFmtId="9" fontId="0" fillId="0" borderId="0" xfId="1" applyFont="1"/>
    <xf numFmtId="164" fontId="0" fillId="0" borderId="2" xfId="0" applyNumberFormat="1" applyBorder="1"/>
    <xf numFmtId="173" fontId="15" fillId="0" borderId="2" xfId="4" applyNumberFormat="1" applyFont="1" applyBorder="1" applyAlignment="1">
      <alignment horizontal="center"/>
    </xf>
    <xf numFmtId="0" fontId="4" fillId="7" borderId="0" xfId="0" applyFont="1" applyFill="1" applyAlignment="1">
      <alignment horizontal="center"/>
    </xf>
    <xf numFmtId="9" fontId="19" fillId="2" borderId="0" xfId="1" applyFont="1" applyFill="1" applyBorder="1" applyAlignment="1">
      <alignment horizontal="right" indent="1"/>
    </xf>
    <xf numFmtId="171" fontId="19" fillId="2" borderId="0" xfId="1" applyNumberFormat="1" applyFont="1" applyFill="1" applyBorder="1" applyAlignment="1">
      <alignment horizontal="right" indent="1"/>
    </xf>
    <xf numFmtId="174" fontId="15" fillId="2" borderId="0" xfId="4" applyNumberFormat="1" applyFont="1" applyFill="1" applyAlignment="1">
      <alignment horizontal="right" indent="1"/>
    </xf>
    <xf numFmtId="174" fontId="3" fillId="2" borderId="0" xfId="0" applyNumberFormat="1" applyFont="1" applyFill="1" applyAlignment="1">
      <alignment horizontal="right" indent="1"/>
    </xf>
    <xf numFmtId="177" fontId="15" fillId="2" borderId="0" xfId="4" applyNumberFormat="1" applyFont="1" applyFill="1" applyAlignment="1">
      <alignment horizontal="right" indent="1"/>
    </xf>
  </cellXfs>
  <cellStyles count="5">
    <cellStyle name="Hardcode" xfId="2" xr:uid="{1BB99C08-82D5-4B6C-B177-13648D8324BE}"/>
    <cellStyle name="Link" xfId="4" xr:uid="{72F948FF-4675-47ED-AD90-6D4A091B8788}"/>
    <cellStyle name="Normal" xfId="0" builtinId="0"/>
    <cellStyle name="Percent" xfId="1" builtinId="5"/>
    <cellStyle name="Reference" xfId="3" xr:uid="{42F23E70-E971-4C4D-969E-888A460C3CBE}"/>
  </cellStyles>
  <dxfs count="0"/>
  <tableStyles count="0" defaultTableStyle="TableStyleMedium2" defaultPivotStyle="PivotStyleLight16"/>
  <colors>
    <mruColors>
      <color rgb="FFD9D9D9"/>
      <color rgb="FF2D2267"/>
      <color rgb="FFED7D31"/>
      <color rgb="FF3F3C3D"/>
      <color rgb="FF565F9B"/>
      <color rgb="FF7B6BCE"/>
      <color rgb="FFFFFFDD"/>
      <color rgb="FFFFFF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99D9-8D15-409F-BE33-F8E7CF64B7FC}">
  <sheetPr>
    <tabColor theme="1"/>
  </sheetPr>
  <dimension ref="C2:K27"/>
  <sheetViews>
    <sheetView showGridLines="0" workbookViewId="0">
      <selection activeCell="G13" sqref="G13"/>
    </sheetView>
  </sheetViews>
  <sheetFormatPr defaultRowHeight="14.4" x14ac:dyDescent="0.3"/>
  <cols>
    <col min="1" max="4" width="3.5546875" customWidth="1"/>
    <col min="5" max="5" width="20.5546875" customWidth="1"/>
    <col min="6" max="6" width="5.5546875" customWidth="1"/>
    <col min="7" max="7" width="10.33203125" style="5" bestFit="1" customWidth="1"/>
    <col min="10" max="11" width="3.5546875" customWidth="1"/>
  </cols>
  <sheetData>
    <row r="2" spans="3:11" ht="15" thickBot="1" x14ac:dyDescent="0.35"/>
    <row r="3" spans="3:11" ht="14.7" customHeight="1" thickTop="1" x14ac:dyDescent="0.3">
      <c r="C3" s="14"/>
      <c r="D3" s="12"/>
      <c r="E3" s="13"/>
      <c r="F3" s="13"/>
      <c r="G3" s="136"/>
      <c r="H3" s="13"/>
      <c r="I3" s="13"/>
      <c r="J3" s="13"/>
      <c r="K3" s="120"/>
    </row>
    <row r="4" spans="3:11" x14ac:dyDescent="0.3">
      <c r="C4" s="20"/>
      <c r="D4" s="21"/>
      <c r="E4" s="11"/>
      <c r="F4" s="11"/>
      <c r="G4" s="44"/>
      <c r="H4" s="11"/>
      <c r="I4" s="11"/>
      <c r="J4" s="100"/>
      <c r="K4" s="119"/>
    </row>
    <row r="5" spans="3:11" ht="25.8" x14ac:dyDescent="0.5">
      <c r="C5" s="15"/>
      <c r="D5" s="19"/>
      <c r="E5" s="112" t="s">
        <v>200</v>
      </c>
      <c r="J5" s="101"/>
      <c r="K5" s="119"/>
    </row>
    <row r="6" spans="3:11" ht="3" customHeight="1" x14ac:dyDescent="0.5">
      <c r="C6" s="15"/>
      <c r="D6" s="19"/>
      <c r="E6" s="112"/>
      <c r="J6" s="101"/>
      <c r="K6" s="119"/>
    </row>
    <row r="7" spans="3:11" ht="18" x14ac:dyDescent="0.35">
      <c r="C7" s="15"/>
      <c r="D7" s="19"/>
      <c r="E7" s="113"/>
      <c r="J7" s="101"/>
      <c r="K7" s="119"/>
    </row>
    <row r="8" spans="3:11" x14ac:dyDescent="0.3">
      <c r="C8" s="15"/>
      <c r="D8" s="19"/>
      <c r="G8" s="137"/>
      <c r="J8" s="101"/>
      <c r="K8" s="119"/>
    </row>
    <row r="9" spans="3:11" x14ac:dyDescent="0.3">
      <c r="C9" s="15"/>
      <c r="D9" s="19"/>
      <c r="E9" s="5" t="s">
        <v>10</v>
      </c>
      <c r="G9" s="18">
        <v>1</v>
      </c>
      <c r="J9" s="101"/>
      <c r="K9" s="119"/>
    </row>
    <row r="10" spans="3:11" x14ac:dyDescent="0.3">
      <c r="C10" s="15"/>
      <c r="D10" s="19"/>
      <c r="J10" s="101"/>
      <c r="K10" s="119"/>
    </row>
    <row r="11" spans="3:11" x14ac:dyDescent="0.3">
      <c r="C11" s="15"/>
      <c r="D11" s="19"/>
      <c r="E11" s="5" t="s">
        <v>2</v>
      </c>
      <c r="G11" s="114">
        <f ca="1">NOW()</f>
        <v>46271.399138194443</v>
      </c>
      <c r="J11" s="101"/>
      <c r="K11" s="119"/>
    </row>
    <row r="12" spans="3:11" x14ac:dyDescent="0.3">
      <c r="C12" s="15"/>
      <c r="D12" s="19"/>
      <c r="E12" s="5" t="s">
        <v>1</v>
      </c>
      <c r="G12" s="138">
        <f ca="1">G11</f>
        <v>46271.399138194443</v>
      </c>
      <c r="J12" s="101"/>
      <c r="K12" s="119"/>
    </row>
    <row r="13" spans="3:11" x14ac:dyDescent="0.3">
      <c r="C13" s="15"/>
      <c r="D13" s="19"/>
      <c r="E13" s="5" t="s">
        <v>3</v>
      </c>
      <c r="G13" s="115" t="s">
        <v>4</v>
      </c>
      <c r="J13" s="101"/>
      <c r="K13" s="119"/>
    </row>
    <row r="14" spans="3:11" x14ac:dyDescent="0.3">
      <c r="C14" s="15"/>
      <c r="D14" s="19"/>
      <c r="J14" s="101"/>
      <c r="K14" s="119"/>
    </row>
    <row r="15" spans="3:11" x14ac:dyDescent="0.3">
      <c r="C15" s="15"/>
      <c r="D15" s="19"/>
      <c r="E15" s="4" t="s">
        <v>5</v>
      </c>
      <c r="J15" s="101"/>
      <c r="K15" s="119"/>
    </row>
    <row r="16" spans="3:11" ht="3" customHeight="1" x14ac:dyDescent="0.3">
      <c r="C16" s="15"/>
      <c r="D16" s="19"/>
      <c r="J16" s="101"/>
      <c r="K16" s="119"/>
    </row>
    <row r="17" spans="3:11" x14ac:dyDescent="0.3">
      <c r="C17" s="15"/>
      <c r="D17" s="19"/>
      <c r="E17" s="116" t="s">
        <v>6</v>
      </c>
      <c r="J17" s="101"/>
      <c r="K17" s="119"/>
    </row>
    <row r="18" spans="3:11" x14ac:dyDescent="0.3">
      <c r="C18" s="15"/>
      <c r="D18" s="19"/>
      <c r="E18" s="117" t="s">
        <v>7</v>
      </c>
      <c r="J18" s="101"/>
      <c r="K18" s="119"/>
    </row>
    <row r="19" spans="3:11" x14ac:dyDescent="0.3">
      <c r="C19" s="15"/>
      <c r="D19" s="19"/>
      <c r="E19" s="118" t="s">
        <v>8</v>
      </c>
      <c r="J19" s="101"/>
      <c r="K19" s="119"/>
    </row>
    <row r="20" spans="3:11" x14ac:dyDescent="0.3">
      <c r="C20" s="15"/>
      <c r="D20" s="19"/>
      <c r="E20" s="5" t="s">
        <v>9</v>
      </c>
      <c r="J20" s="101"/>
      <c r="K20" s="119"/>
    </row>
    <row r="21" spans="3:11" x14ac:dyDescent="0.3">
      <c r="C21" s="15"/>
      <c r="D21" s="19"/>
      <c r="J21" s="101"/>
      <c r="K21" s="119"/>
    </row>
    <row r="22" spans="3:11" x14ac:dyDescent="0.3">
      <c r="C22" s="15"/>
      <c r="D22" s="19"/>
      <c r="J22" s="101"/>
      <c r="K22" s="119"/>
    </row>
    <row r="23" spans="3:11" x14ac:dyDescent="0.3">
      <c r="C23" s="15"/>
      <c r="D23" s="19"/>
      <c r="J23" s="101"/>
      <c r="K23" s="119"/>
    </row>
    <row r="24" spans="3:11" x14ac:dyDescent="0.3">
      <c r="C24" s="15"/>
      <c r="D24" s="19"/>
      <c r="J24" s="101"/>
      <c r="K24" s="119"/>
    </row>
    <row r="25" spans="3:11" x14ac:dyDescent="0.3">
      <c r="C25" s="15"/>
      <c r="D25" s="109"/>
      <c r="E25" s="110"/>
      <c r="F25" s="110"/>
      <c r="G25" s="139"/>
      <c r="H25" s="110"/>
      <c r="I25" s="110"/>
      <c r="J25" s="124"/>
      <c r="K25" s="119"/>
    </row>
    <row r="26" spans="3:11" ht="15" thickBot="1" x14ac:dyDescent="0.35">
      <c r="C26" s="123"/>
      <c r="D26" s="122"/>
      <c r="E26" s="122"/>
      <c r="F26" s="122"/>
      <c r="G26" s="140"/>
      <c r="H26" s="122"/>
      <c r="I26" s="122"/>
      <c r="J26" s="122"/>
      <c r="K26" s="121"/>
    </row>
    <row r="27" spans="3:11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D428-2203-4A53-97D6-00C985059C5A}">
  <sheetPr>
    <tabColor theme="9" tint="-0.249977111117893"/>
  </sheetPr>
  <dimension ref="C2:AL40"/>
  <sheetViews>
    <sheetView showGridLines="0" tabSelected="1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G4" sqref="G4"/>
    </sheetView>
  </sheetViews>
  <sheetFormatPr defaultRowHeight="14.4" x14ac:dyDescent="0.3"/>
  <cols>
    <col min="1" max="2" width="3.5546875" customWidth="1"/>
    <col min="3" max="3" width="15.5546875" customWidth="1"/>
    <col min="4" max="4" width="3.5546875" customWidth="1"/>
    <col min="5" max="5" width="13.5546875" customWidth="1"/>
    <col min="6" max="6" width="3.5546875" customWidth="1"/>
    <col min="7" max="11" width="13.5546875" customWidth="1"/>
    <col min="12" max="13" width="1.5546875" customWidth="1"/>
    <col min="14" max="18" width="13.5546875" customWidth="1"/>
    <col min="19" max="20" width="1.5546875" customWidth="1"/>
    <col min="21" max="21" width="13.5546875" customWidth="1"/>
    <col min="22" max="25" width="12.5546875" customWidth="1"/>
    <col min="26" max="26" width="13.5546875" customWidth="1"/>
    <col min="27" max="37" width="12.5546875" customWidth="1"/>
  </cols>
  <sheetData>
    <row r="2" spans="3:25" ht="15" thickBot="1" x14ac:dyDescent="0.35"/>
    <row r="3" spans="3:25" x14ac:dyDescent="0.3">
      <c r="C3" s="125" t="s">
        <v>147</v>
      </c>
      <c r="D3" s="126"/>
      <c r="E3" s="127">
        <f>'Detailed Financials'!G197</f>
        <v>11</v>
      </c>
    </row>
    <row r="4" spans="3:25" x14ac:dyDescent="0.3">
      <c r="C4" s="128" t="s">
        <v>148</v>
      </c>
      <c r="D4" s="5"/>
      <c r="E4" s="129">
        <f>'Detailed Financials'!G198</f>
        <v>45597</v>
      </c>
    </row>
    <row r="5" spans="3:25" ht="15" thickBot="1" x14ac:dyDescent="0.35">
      <c r="C5" s="130" t="s">
        <v>188</v>
      </c>
      <c r="D5" s="131"/>
      <c r="E5" s="132">
        <f>'Detailed Financials'!G193</f>
        <v>21399063.524993867</v>
      </c>
    </row>
    <row r="7" spans="3:25" x14ac:dyDescent="0.3">
      <c r="C7" s="94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3:25" x14ac:dyDescent="0.3">
      <c r="C8" s="14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3:25" x14ac:dyDescent="0.3">
      <c r="C9" s="2"/>
      <c r="D9" s="2"/>
      <c r="E9" s="2"/>
      <c r="F9" s="2"/>
      <c r="G9" s="95" t="s">
        <v>201</v>
      </c>
      <c r="H9" s="95"/>
      <c r="I9" s="95"/>
      <c r="J9" s="95"/>
      <c r="K9" s="95"/>
      <c r="L9" s="2"/>
      <c r="M9" s="2"/>
      <c r="N9" s="95" t="s">
        <v>16</v>
      </c>
      <c r="O9" s="95"/>
      <c r="P9" s="95"/>
      <c r="Q9" s="95"/>
      <c r="R9" s="95"/>
      <c r="S9" s="96"/>
      <c r="T9" s="96"/>
      <c r="U9" s="95" t="s">
        <v>20</v>
      </c>
      <c r="V9" s="95"/>
      <c r="W9" s="95"/>
      <c r="X9" s="95"/>
      <c r="Y9" s="95"/>
    </row>
    <row r="10" spans="3:25" x14ac:dyDescent="0.3">
      <c r="C10" s="3"/>
      <c r="D10" s="3"/>
      <c r="E10" s="3"/>
      <c r="F10" s="93"/>
      <c r="G10" s="51">
        <v>45627</v>
      </c>
      <c r="H10" s="51">
        <f>EDATE(G10,12)</f>
        <v>45992</v>
      </c>
      <c r="I10" s="51">
        <f t="shared" ref="I10:K10" si="0">EDATE(H10,12)</f>
        <v>46357</v>
      </c>
      <c r="J10" s="51">
        <f t="shared" si="0"/>
        <v>46722</v>
      </c>
      <c r="K10" s="51">
        <f t="shared" si="0"/>
        <v>47088</v>
      </c>
      <c r="L10" s="93"/>
      <c r="M10" s="93"/>
      <c r="N10" s="51">
        <v>45627</v>
      </c>
      <c r="O10" s="51">
        <f>EDATE(N10,12)</f>
        <v>45992</v>
      </c>
      <c r="P10" s="51">
        <f t="shared" ref="P10:R10" si="1">EDATE(O10,12)</f>
        <v>46357</v>
      </c>
      <c r="Q10" s="51">
        <f t="shared" si="1"/>
        <v>46722</v>
      </c>
      <c r="R10" s="51">
        <f t="shared" si="1"/>
        <v>47088</v>
      </c>
      <c r="S10" s="51"/>
      <c r="T10" s="51"/>
      <c r="U10" s="51">
        <v>45627</v>
      </c>
      <c r="V10" s="51">
        <f>EDATE(U10,12)</f>
        <v>45992</v>
      </c>
      <c r="W10" s="51">
        <f t="shared" ref="W10:Y10" si="2">EDATE(V10,12)</f>
        <v>46357</v>
      </c>
      <c r="X10" s="51">
        <f t="shared" si="2"/>
        <v>46722</v>
      </c>
      <c r="Y10" s="51">
        <f t="shared" si="2"/>
        <v>47088</v>
      </c>
    </row>
    <row r="11" spans="3:25" ht="3" customHeight="1" x14ac:dyDescent="0.3">
      <c r="N11" s="49"/>
      <c r="O11" s="49"/>
      <c r="P11" s="49"/>
      <c r="Q11" s="49"/>
      <c r="R11" s="49"/>
      <c r="S11" s="49"/>
      <c r="T11" s="49"/>
      <c r="U11" s="49"/>
    </row>
    <row r="12" spans="3:25" ht="14.4" customHeight="1" x14ac:dyDescent="0.3">
      <c r="C12" s="96" t="s">
        <v>197</v>
      </c>
      <c r="D12" s="96"/>
      <c r="E12" s="96"/>
      <c r="F12" s="96"/>
      <c r="G12" s="159">
        <f>N12+U12</f>
        <v>2063</v>
      </c>
      <c r="H12" s="159">
        <f>O12+V12</f>
        <v>6400</v>
      </c>
      <c r="I12" s="159">
        <f>P12+W12</f>
        <v>18221</v>
      </c>
      <c r="J12" s="159">
        <f>Q12+X12</f>
        <v>51549</v>
      </c>
      <c r="K12" s="159">
        <f>R12+Y12</f>
        <v>147786</v>
      </c>
      <c r="N12" s="146">
        <f>INDEX('Subscribers &amp; Revenue'!$G$19:$BN$19, MATCH('Metrics Dashboard'!N$10, 'Subscribers &amp; Revenue'!$G$6:$BN$6, 0))</f>
        <v>1081</v>
      </c>
      <c r="O12" s="146">
        <f>INDEX('Subscribers &amp; Revenue'!$G$19:$BN$19, MATCH('Metrics Dashboard'!O$10, 'Subscribers &amp; Revenue'!$G$6:$BN$6, 0))</f>
        <v>3543</v>
      </c>
      <c r="P12" s="146">
        <f>INDEX('Subscribers &amp; Revenue'!$G$19:$BN$19, MATCH('Metrics Dashboard'!P$10, 'Subscribers &amp; Revenue'!$G$6:$BN$6, 0))</f>
        <v>11148</v>
      </c>
      <c r="Q12" s="146">
        <f>INDEX('Subscribers &amp; Revenue'!$G$19:$BN$19, MATCH('Metrics Dashboard'!Q$10, 'Subscribers &amp; Revenue'!$G$6:$BN$6, 0))</f>
        <v>34984</v>
      </c>
      <c r="R12" s="146">
        <f>INDEX('Subscribers &amp; Revenue'!$G$19:$BN$19, MATCH('Metrics Dashboard'!R$10, 'Subscribers &amp; Revenue'!$G$6:$BN$6, 0))</f>
        <v>109806</v>
      </c>
      <c r="S12" s="147"/>
      <c r="T12" s="147"/>
      <c r="U12" s="146">
        <f>INDEX('Subscribers &amp; Revenue'!$G$29:$BN$29, MATCH('Metrics Dashboard'!U$10, 'Subscribers &amp; Revenue'!$G$6:$BN$6, 0))</f>
        <v>982</v>
      </c>
      <c r="V12" s="146">
        <f>INDEX('Subscribers &amp; Revenue'!$G$29:$BN$29, MATCH('Metrics Dashboard'!V$10, 'Subscribers &amp; Revenue'!$G$6:$BN$6, 0))</f>
        <v>2857</v>
      </c>
      <c r="W12" s="146">
        <f>INDEX('Subscribers &amp; Revenue'!$G$29:$BN$29, MATCH('Metrics Dashboard'!W$10, 'Subscribers &amp; Revenue'!$G$6:$BN$6, 0))</f>
        <v>7073</v>
      </c>
      <c r="X12" s="146">
        <f>INDEX('Subscribers &amp; Revenue'!$G$29:$BN$29, MATCH('Metrics Dashboard'!X$10, 'Subscribers &amp; Revenue'!$G$6:$BN$6, 0))</f>
        <v>16565</v>
      </c>
      <c r="Y12" s="146">
        <f>INDEX('Subscribers &amp; Revenue'!$G$29:$BN$29, MATCH('Metrics Dashboard'!Y$10, 'Subscribers &amp; Revenue'!$G$6:$BN$6, 0))</f>
        <v>37980</v>
      </c>
    </row>
    <row r="13" spans="3:25" ht="14.4" customHeight="1" x14ac:dyDescent="0.3">
      <c r="C13" s="25" t="s">
        <v>202</v>
      </c>
      <c r="G13" s="149"/>
      <c r="H13" s="157">
        <f>H12/G12-1</f>
        <v>2.1022782355792535</v>
      </c>
      <c r="I13" s="157">
        <f t="shared" ref="I13:K13" si="3">I12/H12-1</f>
        <v>1.8470312500000001</v>
      </c>
      <c r="J13" s="157">
        <f t="shared" si="3"/>
        <v>1.8290982931782009</v>
      </c>
      <c r="K13" s="157">
        <f t="shared" si="3"/>
        <v>1.8669033346912647</v>
      </c>
      <c r="N13" s="146"/>
      <c r="O13" s="157">
        <f>O12/N12-1</f>
        <v>2.2775208140610546</v>
      </c>
      <c r="P13" s="157">
        <f t="shared" ref="P13" si="4">P12/O12-1</f>
        <v>2.1464860287891616</v>
      </c>
      <c r="Q13" s="157">
        <f t="shared" ref="Q13" si="5">Q12/P12-1</f>
        <v>2.1381413706494437</v>
      </c>
      <c r="R13" s="157">
        <f t="shared" ref="R13" si="6">R12/Q12-1</f>
        <v>2.138749142465127</v>
      </c>
      <c r="S13" s="147"/>
      <c r="T13" s="147"/>
      <c r="U13" s="146"/>
      <c r="V13" s="157">
        <f>V12/U12-1</f>
        <v>1.909368635437882</v>
      </c>
      <c r="W13" s="157">
        <f t="shared" ref="W13" si="7">W12/V12-1</f>
        <v>1.4756737836891847</v>
      </c>
      <c r="X13" s="157">
        <f t="shared" ref="X13" si="8">X12/W12-1</f>
        <v>1.3420048070125832</v>
      </c>
      <c r="Y13" s="157">
        <f t="shared" ref="Y13" si="9">Y12/X12-1</f>
        <v>1.2927859945668581</v>
      </c>
    </row>
    <row r="14" spans="3:25" ht="3" customHeight="1" x14ac:dyDescent="0.3">
      <c r="C14" s="25"/>
      <c r="G14" s="149"/>
      <c r="H14" s="157"/>
      <c r="I14" s="157"/>
      <c r="J14" s="157"/>
      <c r="K14" s="157"/>
      <c r="N14" s="146"/>
      <c r="O14" s="157"/>
      <c r="P14" s="157"/>
      <c r="Q14" s="157"/>
      <c r="R14" s="157"/>
      <c r="S14" s="147"/>
      <c r="T14" s="147"/>
      <c r="U14" s="146"/>
      <c r="V14" s="157"/>
      <c r="W14" s="157"/>
      <c r="X14" s="157"/>
      <c r="Y14" s="157"/>
    </row>
    <row r="15" spans="3:25" ht="14.4" customHeight="1" x14ac:dyDescent="0.3">
      <c r="C15" s="96" t="s">
        <v>44</v>
      </c>
      <c r="D15" s="96"/>
      <c r="E15" s="96"/>
      <c r="F15" s="96"/>
      <c r="G15" s="158">
        <f>N15+U15</f>
        <v>713220</v>
      </c>
      <c r="H15" s="158">
        <f>O15+V15</f>
        <v>2218290</v>
      </c>
      <c r="I15" s="158">
        <f>P15+W15</f>
        <v>6136830</v>
      </c>
      <c r="J15" s="158">
        <f>Q15+X15</f>
        <v>17374290</v>
      </c>
      <c r="K15" s="158">
        <f>R15+Y15</f>
        <v>50306640</v>
      </c>
      <c r="N15" s="150">
        <f>N18*12</f>
        <v>389160</v>
      </c>
      <c r="O15" s="150">
        <f t="shared" ref="O15:R15" si="10">O18*12</f>
        <v>1275480</v>
      </c>
      <c r="P15" s="150">
        <f t="shared" si="10"/>
        <v>4013280</v>
      </c>
      <c r="Q15" s="150">
        <f t="shared" si="10"/>
        <v>12594240</v>
      </c>
      <c r="R15" s="150">
        <f t="shared" si="10"/>
        <v>39530160</v>
      </c>
      <c r="S15" s="148"/>
      <c r="T15" s="148"/>
      <c r="U15" s="150">
        <f>U18*12</f>
        <v>324060</v>
      </c>
      <c r="V15" s="150">
        <f t="shared" ref="V15" si="11">V18*12</f>
        <v>942810</v>
      </c>
      <c r="W15" s="150">
        <f t="shared" ref="W15" si="12">W18*12</f>
        <v>2123550</v>
      </c>
      <c r="X15" s="150">
        <f t="shared" ref="X15" si="13">X18*12</f>
        <v>4780050</v>
      </c>
      <c r="Y15" s="150">
        <f t="shared" ref="Y15" si="14">Y18*12</f>
        <v>10776480</v>
      </c>
    </row>
    <row r="16" spans="3:25" ht="14.4" customHeight="1" x14ac:dyDescent="0.3">
      <c r="C16" s="25" t="s">
        <v>202</v>
      </c>
      <c r="G16" s="150"/>
      <c r="H16" s="157">
        <f>H15/G15-1</f>
        <v>2.1102464877597376</v>
      </c>
      <c r="I16" s="157">
        <f t="shared" ref="I16" si="15">I15/H15-1</f>
        <v>1.7664687664822902</v>
      </c>
      <c r="J16" s="157">
        <f t="shared" ref="J16" si="16">J15/I15-1</f>
        <v>1.8311506103313926</v>
      </c>
      <c r="K16" s="157">
        <f t="shared" ref="K16" si="17">K15/J15-1</f>
        <v>1.8954645053121597</v>
      </c>
      <c r="N16" s="150"/>
      <c r="O16" s="157">
        <f>O15/N15-1</f>
        <v>2.2775208140610546</v>
      </c>
      <c r="P16" s="157">
        <f t="shared" ref="P16" si="18">P15/O15-1</f>
        <v>2.1464860287891616</v>
      </c>
      <c r="Q16" s="157">
        <f t="shared" ref="Q16" si="19">Q15/P15-1</f>
        <v>2.1381413706494437</v>
      </c>
      <c r="R16" s="157">
        <f t="shared" ref="R16" si="20">R15/Q15-1</f>
        <v>2.138749142465127</v>
      </c>
      <c r="S16" s="148"/>
      <c r="T16" s="148"/>
      <c r="U16" s="150"/>
      <c r="V16" s="157">
        <f>V15/U15-1</f>
        <v>1.909368635437882</v>
      </c>
      <c r="W16" s="157">
        <f t="shared" ref="W16" si="21">W15/V15-1</f>
        <v>1.2523626181309067</v>
      </c>
      <c r="X16" s="157">
        <f t="shared" ref="X16" si="22">X15/W15-1</f>
        <v>1.2509712509712512</v>
      </c>
      <c r="Y16" s="157">
        <f t="shared" ref="Y16" si="23">Y15/X15-1</f>
        <v>1.2544701415257165</v>
      </c>
    </row>
    <row r="17" spans="3:38" ht="3" customHeight="1" x14ac:dyDescent="0.3">
      <c r="C17" s="25"/>
      <c r="G17" s="150"/>
      <c r="H17" s="157"/>
      <c r="I17" s="157"/>
      <c r="J17" s="157"/>
      <c r="K17" s="157"/>
      <c r="N17" s="150"/>
      <c r="O17" s="157"/>
      <c r="P17" s="157"/>
      <c r="Q17" s="157"/>
      <c r="R17" s="157"/>
      <c r="S17" s="148"/>
      <c r="T17" s="148"/>
      <c r="U17" s="150"/>
      <c r="V17" s="157"/>
      <c r="W17" s="157"/>
      <c r="X17" s="157"/>
      <c r="Y17" s="157"/>
    </row>
    <row r="18" spans="3:38" x14ac:dyDescent="0.3">
      <c r="C18" s="96" t="s">
        <v>45</v>
      </c>
      <c r="D18" s="96"/>
      <c r="E18" s="96"/>
      <c r="F18" s="96"/>
      <c r="G18" s="158">
        <f>N18+U18</f>
        <v>59435</v>
      </c>
      <c r="H18" s="158">
        <f>O18+V18</f>
        <v>184857.5</v>
      </c>
      <c r="I18" s="158">
        <f>P18+W18</f>
        <v>511402.5</v>
      </c>
      <c r="J18" s="158">
        <f>Q18+X18</f>
        <v>1447857.5</v>
      </c>
      <c r="K18" s="158">
        <f>R18+Y18</f>
        <v>4192220</v>
      </c>
      <c r="N18" s="151">
        <f>INDEX('Subscribers &amp; Revenue'!$G$68:$BN$68, MATCH('Metrics Dashboard'!N$10, 'Subscribers &amp; Revenue'!$G$6:$BN$6, 0))</f>
        <v>32430</v>
      </c>
      <c r="O18" s="151">
        <f>INDEX('Subscribers &amp; Revenue'!$G$68:$BN$68, MATCH('Metrics Dashboard'!O$10, 'Subscribers &amp; Revenue'!$G$6:$BN$6, 0))</f>
        <v>106290</v>
      </c>
      <c r="P18" s="151">
        <f>INDEX('Subscribers &amp; Revenue'!$G$68:$BN$68, MATCH('Metrics Dashboard'!P$10, 'Subscribers &amp; Revenue'!$G$6:$BN$6, 0))</f>
        <v>334440</v>
      </c>
      <c r="Q18" s="151">
        <f>INDEX('Subscribers &amp; Revenue'!$G$68:$BN$68, MATCH('Metrics Dashboard'!Q$10, 'Subscribers &amp; Revenue'!$G$6:$BN$6, 0))</f>
        <v>1049520</v>
      </c>
      <c r="R18" s="151">
        <f>INDEX('Subscribers &amp; Revenue'!$G$68:$BN$68, MATCH('Metrics Dashboard'!R$10, 'Subscribers &amp; Revenue'!$G$6:$BN$6, 0))</f>
        <v>3294180</v>
      </c>
      <c r="S18" s="148"/>
      <c r="T18" s="148"/>
      <c r="U18" s="151">
        <f>INDEX('Subscribers &amp; Revenue'!$G$69:$BN$69, MATCH('Metrics Dashboard'!U$10, 'Subscribers &amp; Revenue'!$G$6:$BN$6, 0))</f>
        <v>27005</v>
      </c>
      <c r="V18" s="151">
        <f>INDEX('Subscribers &amp; Revenue'!$G$69:$BN$69, MATCH('Metrics Dashboard'!V$10, 'Subscribers &amp; Revenue'!$G$6:$BN$6, 0))</f>
        <v>78567.5</v>
      </c>
      <c r="W18" s="151">
        <f>INDEX('Subscribers &amp; Revenue'!$G$69:$BN$69, MATCH('Metrics Dashboard'!W$10, 'Subscribers &amp; Revenue'!$G$6:$BN$6, 0))</f>
        <v>176962.5</v>
      </c>
      <c r="X18" s="151">
        <f>INDEX('Subscribers &amp; Revenue'!$G$69:$BN$69, MATCH('Metrics Dashboard'!X$10, 'Subscribers &amp; Revenue'!$G$6:$BN$6, 0))</f>
        <v>398337.5</v>
      </c>
      <c r="Y18" s="151">
        <f>INDEX('Subscribers &amp; Revenue'!$G$69:$BN$69, MATCH('Metrics Dashboard'!Y$10, 'Subscribers &amp; Revenue'!$G$6:$BN$6, 0))</f>
        <v>898040</v>
      </c>
    </row>
    <row r="19" spans="3:38" x14ac:dyDescent="0.3">
      <c r="C19" s="25" t="s">
        <v>202</v>
      </c>
      <c r="H19" s="157">
        <f>H18/G18-1</f>
        <v>2.1102464877597376</v>
      </c>
      <c r="I19" s="157">
        <f t="shared" ref="I19" si="24">I18/H18-1</f>
        <v>1.7664687664822902</v>
      </c>
      <c r="J19" s="157">
        <f t="shared" ref="J19" si="25">J18/I18-1</f>
        <v>1.8311506103313926</v>
      </c>
      <c r="K19" s="157">
        <f t="shared" ref="K19" si="26">K18/J18-1</f>
        <v>1.8954645053121597</v>
      </c>
      <c r="N19" s="151"/>
      <c r="O19" s="157">
        <f>O18/N18-1</f>
        <v>2.2775208140610546</v>
      </c>
      <c r="P19" s="157">
        <f t="shared" ref="P19" si="27">P18/O18-1</f>
        <v>2.1464860287891616</v>
      </c>
      <c r="Q19" s="157">
        <f t="shared" ref="Q19" si="28">Q18/P18-1</f>
        <v>2.1381413706494437</v>
      </c>
      <c r="R19" s="157">
        <f t="shared" ref="R19" si="29">R18/Q18-1</f>
        <v>2.138749142465127</v>
      </c>
      <c r="S19" s="148"/>
      <c r="T19" s="148"/>
      <c r="U19" s="151"/>
      <c r="V19" s="157">
        <f>V18/U18-1</f>
        <v>1.909368635437882</v>
      </c>
      <c r="W19" s="157">
        <f t="shared" ref="W19" si="30">W18/V18-1</f>
        <v>1.2523626181309067</v>
      </c>
      <c r="X19" s="157">
        <f t="shared" ref="X19" si="31">X18/W18-1</f>
        <v>1.2509712509712512</v>
      </c>
      <c r="Y19" s="157">
        <f t="shared" ref="Y19" si="32">Y18/X18-1</f>
        <v>1.2544701415257165</v>
      </c>
      <c r="Z19" s="150"/>
      <c r="AA19" s="150"/>
      <c r="AB19" s="150"/>
      <c r="AC19" s="150"/>
      <c r="AD19" s="150"/>
    </row>
    <row r="20" spans="3:38" ht="3" customHeight="1" x14ac:dyDescent="0.3">
      <c r="N20" s="151"/>
      <c r="O20" s="151"/>
      <c r="P20" s="151"/>
      <c r="Q20" s="151"/>
      <c r="R20" s="151"/>
      <c r="S20" s="148"/>
      <c r="T20" s="148"/>
      <c r="U20" s="151"/>
      <c r="V20" s="151"/>
      <c r="W20" s="151"/>
      <c r="X20" s="151"/>
      <c r="Y20" s="151"/>
      <c r="Z20" s="150"/>
      <c r="AA20" s="150"/>
      <c r="AB20" s="150"/>
      <c r="AC20" s="150"/>
      <c r="AD20" s="150"/>
    </row>
    <row r="21" spans="3:38" x14ac:dyDescent="0.3">
      <c r="C21" s="96" t="s">
        <v>199</v>
      </c>
      <c r="D21" s="96"/>
      <c r="E21" s="96"/>
      <c r="F21" s="96"/>
      <c r="G21" s="160">
        <f>-INDEX('Subscribers &amp; Revenue'!$G$77:$BN$77, MATCH('Metrics Dashboard'!G$10, 'Subscribers &amp; Revenue'!$G$6:$BN$6, 0))</f>
        <v>170060</v>
      </c>
      <c r="H21" s="160">
        <f>-INDEX('Subscribers &amp; Revenue'!$G$77:$BN$77, MATCH('Metrics Dashboard'!H$10, 'Subscribers &amp; Revenue'!$G$6:$BN$6, 0))</f>
        <v>494587.5</v>
      </c>
      <c r="I21" s="160">
        <f>-INDEX('Subscribers &amp; Revenue'!$G$77:$BN$77, MATCH('Metrics Dashboard'!I$10, 'Subscribers &amp; Revenue'!$G$6:$BN$6, 0))</f>
        <v>1114190</v>
      </c>
      <c r="J21" s="160">
        <f>-INDEX('Subscribers &amp; Revenue'!$G$77:$BN$77, MATCH('Metrics Dashboard'!J$10, 'Subscribers &amp; Revenue'!$G$6:$BN$6, 0))</f>
        <v>2509155</v>
      </c>
      <c r="K21" s="160">
        <f>-INDEX('Subscribers &amp; Revenue'!$G$77:$BN$77, MATCH('Metrics Dashboard'!K$10, 'Subscribers &amp; Revenue'!$G$6:$BN$6, 0))</f>
        <v>5655732.5</v>
      </c>
      <c r="N21" s="161"/>
      <c r="O21" s="161"/>
      <c r="P21" s="161"/>
      <c r="Q21" s="161"/>
      <c r="R21" s="161"/>
      <c r="S21" s="148"/>
      <c r="T21" s="148"/>
      <c r="U21" s="161"/>
      <c r="V21" s="161"/>
      <c r="W21" s="161"/>
      <c r="X21" s="161"/>
      <c r="Y21" s="161"/>
      <c r="Z21" s="150"/>
      <c r="AA21" s="150"/>
      <c r="AB21" s="150"/>
      <c r="AC21" s="150"/>
      <c r="AD21" s="150"/>
    </row>
    <row r="22" spans="3:38" x14ac:dyDescent="0.3">
      <c r="C22" s="25" t="s">
        <v>202</v>
      </c>
      <c r="H22" s="157">
        <f>H21/G21-1</f>
        <v>1.9083117723156535</v>
      </c>
      <c r="I22" s="157">
        <f t="shared" ref="I22" si="33">I21/H21-1</f>
        <v>1.2527661940505976</v>
      </c>
      <c r="J22" s="157">
        <f t="shared" ref="J22" si="34">J21/I21-1</f>
        <v>1.2519992101885675</v>
      </c>
      <c r="K22" s="157">
        <f t="shared" ref="K22" si="35">K21/J21-1</f>
        <v>1.2540387102430897</v>
      </c>
      <c r="N22" s="161"/>
      <c r="O22" s="161"/>
      <c r="P22" s="161"/>
      <c r="Q22" s="161"/>
      <c r="R22" s="161"/>
      <c r="S22" s="148"/>
      <c r="T22" s="148"/>
      <c r="U22" s="161"/>
      <c r="V22" s="161"/>
      <c r="W22" s="161"/>
      <c r="X22" s="161"/>
      <c r="Y22" s="161"/>
      <c r="Z22" s="150"/>
      <c r="AA22" s="150"/>
      <c r="AB22" s="150"/>
      <c r="AC22" s="150"/>
      <c r="AD22" s="150"/>
    </row>
    <row r="23" spans="3:38" ht="3" customHeight="1" x14ac:dyDescent="0.3">
      <c r="N23" s="151"/>
      <c r="O23" s="151"/>
      <c r="P23" s="151"/>
      <c r="Q23" s="151"/>
      <c r="R23" s="151"/>
      <c r="S23" s="148"/>
      <c r="T23" s="148"/>
      <c r="U23" s="151"/>
      <c r="V23" s="151"/>
      <c r="W23" s="151"/>
      <c r="X23" s="151"/>
      <c r="Y23" s="151"/>
      <c r="Z23" s="150"/>
      <c r="AA23" s="150"/>
      <c r="AB23" s="150"/>
      <c r="AC23" s="150"/>
      <c r="AD23" s="150"/>
    </row>
    <row r="24" spans="3:38" x14ac:dyDescent="0.3">
      <c r="C24" s="96" t="s">
        <v>195</v>
      </c>
      <c r="D24" s="96"/>
      <c r="E24" s="96"/>
      <c r="F24" s="96"/>
      <c r="G24" s="160">
        <f>INDEX('Detailed Metrics'!$G$53:$BN$53, MATCH('Metrics Dashboard'!G$10, 'Detailed Metrics'!$G$6:$BN$6, 0))</f>
        <v>28.80998545807077</v>
      </c>
      <c r="H24" s="160">
        <f>INDEX('Detailed Metrics'!$G$53:$BN$53, MATCH('Metrics Dashboard'!H$10, 'Detailed Metrics'!$G$6:$BN$6, 0))</f>
        <v>28.883984375000001</v>
      </c>
      <c r="I24" s="160">
        <f>INDEX('Detailed Metrics'!$G$53:$BN$53, MATCH('Metrics Dashboard'!I$10, 'Detailed Metrics'!$G$6:$BN$6, 0))</f>
        <v>28.066653860929698</v>
      </c>
      <c r="J24" s="160">
        <f>INDEX('Detailed Metrics'!$G$53:$BN$53, MATCH('Metrics Dashboard'!J$10, 'Detailed Metrics'!$G$6:$BN$6, 0))</f>
        <v>28.087014297076568</v>
      </c>
      <c r="K24" s="160">
        <f>INDEX('Detailed Metrics'!$G$53:$BN$53, MATCH('Metrics Dashboard'!K$10, 'Detailed Metrics'!$G$6:$BN$6, 0))</f>
        <v>28.366827710337922</v>
      </c>
      <c r="N24" s="160">
        <f>INDEX('Detailed Metrics'!$G$51:$BN$51, MATCH('Metrics Dashboard'!N$10, 'Detailed Metrics'!$G$6:$BN$6, 0))</f>
        <v>30</v>
      </c>
      <c r="O24" s="160">
        <f>INDEX('Detailed Metrics'!$G$51:$BN$51, MATCH('Metrics Dashboard'!O$10, 'Detailed Metrics'!$G$6:$BN$6, 0))</f>
        <v>30</v>
      </c>
      <c r="P24" s="160">
        <f>INDEX('Detailed Metrics'!$G$51:$BN$51, MATCH('Metrics Dashboard'!P$10, 'Detailed Metrics'!$G$6:$BN$6, 0))</f>
        <v>30</v>
      </c>
      <c r="Q24" s="160">
        <f>INDEX('Detailed Metrics'!$G$51:$BN$51, MATCH('Metrics Dashboard'!Q$10, 'Detailed Metrics'!$G$6:$BN$6, 0))</f>
        <v>30</v>
      </c>
      <c r="R24" s="160">
        <f>INDEX('Detailed Metrics'!$G$51:$BN$51, MATCH('Metrics Dashboard'!R$10, 'Detailed Metrics'!$G$6:$BN$6, 0))</f>
        <v>30</v>
      </c>
      <c r="S24" s="148"/>
      <c r="T24" s="148"/>
      <c r="U24" s="160">
        <f>INDEX('Detailed Metrics'!$G$52:$BN$52, MATCH('Metrics Dashboard'!U$10, 'Detailed Metrics'!$G$6:$BN$6, 0))</f>
        <v>27.5</v>
      </c>
      <c r="V24" s="160">
        <f>INDEX('Detailed Metrics'!$G$52:$BN$52, MATCH('Metrics Dashboard'!V$10, 'Detailed Metrics'!$G$6:$BN$6, 0))</f>
        <v>27.5</v>
      </c>
      <c r="W24" s="160">
        <f>INDEX('Detailed Metrics'!$G$52:$BN$52, MATCH('Metrics Dashboard'!W$10, 'Detailed Metrics'!$G$6:$BN$6, 0))</f>
        <v>25.019440124416796</v>
      </c>
      <c r="X24" s="160">
        <f>INDEX('Detailed Metrics'!$G$52:$BN$52, MATCH('Metrics Dashboard'!X$10, 'Detailed Metrics'!$G$6:$BN$6, 0))</f>
        <v>24.046936311500151</v>
      </c>
      <c r="Y24" s="160">
        <f>INDEX('Detailed Metrics'!$G$52:$BN$52, MATCH('Metrics Dashboard'!Y$10, 'Detailed Metrics'!$G$6:$BN$6, 0))</f>
        <v>23.64507635597683</v>
      </c>
      <c r="Z24" s="148"/>
      <c r="AA24" s="148"/>
      <c r="AB24" s="148"/>
      <c r="AC24" s="148"/>
      <c r="AD24" s="148"/>
      <c r="AL24" s="16" t="s">
        <v>0</v>
      </c>
    </row>
    <row r="25" spans="3:38" ht="3" customHeight="1" x14ac:dyDescent="0.3">
      <c r="N25" s="151"/>
      <c r="O25" s="151"/>
      <c r="P25" s="151"/>
      <c r="Q25" s="151"/>
      <c r="R25" s="151"/>
      <c r="S25" s="148"/>
      <c r="T25" s="148"/>
      <c r="U25" s="151"/>
      <c r="V25" s="148"/>
      <c r="W25" s="148"/>
      <c r="X25" s="148"/>
      <c r="Y25" s="148"/>
      <c r="Z25" s="148"/>
      <c r="AA25" s="148"/>
      <c r="AB25" s="148"/>
      <c r="AC25" s="148"/>
      <c r="AD25" s="148"/>
      <c r="AL25" s="16"/>
    </row>
    <row r="26" spans="3:38" x14ac:dyDescent="0.3">
      <c r="C26" s="96" t="s">
        <v>189</v>
      </c>
      <c r="D26" s="2"/>
      <c r="E26" s="2"/>
      <c r="F26" s="2"/>
      <c r="G26" s="161"/>
      <c r="H26" s="161"/>
      <c r="I26" s="161"/>
      <c r="J26" s="161"/>
      <c r="K26" s="161"/>
      <c r="N26" s="168">
        <f>'Detailed Metrics'!$E$55</f>
        <v>0.15000000000000002</v>
      </c>
      <c r="O26" s="168">
        <f>'Detailed Metrics'!$E$55</f>
        <v>0.15000000000000002</v>
      </c>
      <c r="P26" s="168">
        <f>'Detailed Metrics'!$E$55</f>
        <v>0.15000000000000002</v>
      </c>
      <c r="Q26" s="168">
        <f>'Detailed Metrics'!$E$55</f>
        <v>0.15000000000000002</v>
      </c>
      <c r="R26" s="168">
        <f>'Detailed Metrics'!$E$55</f>
        <v>0.15000000000000002</v>
      </c>
      <c r="S26" s="148"/>
      <c r="T26" s="148"/>
      <c r="U26" s="167">
        <f>'Detailed Metrics'!$E$56</f>
        <v>0.35</v>
      </c>
      <c r="V26" s="167">
        <f>'Detailed Metrics'!$E$56</f>
        <v>0.35</v>
      </c>
      <c r="W26" s="167">
        <f>'Detailed Metrics'!$E$56</f>
        <v>0.35</v>
      </c>
      <c r="X26" s="167">
        <f>'Detailed Metrics'!$E$56</f>
        <v>0.35</v>
      </c>
      <c r="Y26" s="167">
        <f>'Detailed Metrics'!$E$56</f>
        <v>0.35</v>
      </c>
      <c r="Z26" s="148"/>
      <c r="AA26" s="148"/>
      <c r="AB26" s="148"/>
      <c r="AC26" s="148"/>
      <c r="AD26" s="148"/>
      <c r="AL26" s="16" t="s">
        <v>0</v>
      </c>
    </row>
    <row r="27" spans="3:38" ht="3" customHeight="1" x14ac:dyDescent="0.3">
      <c r="N27" s="156"/>
      <c r="O27" s="152"/>
      <c r="P27" s="152"/>
      <c r="Q27" s="152"/>
      <c r="R27" s="152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L27" s="16"/>
    </row>
    <row r="28" spans="3:38" x14ac:dyDescent="0.3">
      <c r="C28" s="96" t="s">
        <v>196</v>
      </c>
      <c r="D28" s="2"/>
      <c r="E28" s="2"/>
      <c r="F28" s="2"/>
      <c r="G28" s="169">
        <f>INDEX('Detailed Metrics'!$G$57:$BN$57, MATCH('Metrics Dashboard'!G$10, 'Detailed Metrics'!$G$6:$BN$6, 0))</f>
        <v>19.813493987027673</v>
      </c>
      <c r="H28" s="169">
        <f>INDEX('Detailed Metrics'!$G$57:$BN$57, MATCH('Metrics Dashboard'!H$10, 'Detailed Metrics'!$G$6:$BN$6, 0))</f>
        <v>18.995982142857141</v>
      </c>
      <c r="I28" s="169">
        <f>INDEX('Detailed Metrics'!$G$57:$BN$57, MATCH('Metrics Dashboard'!I$10, 'Detailed Metrics'!$G$6:$BN$6, 0))</f>
        <v>17.387786463029315</v>
      </c>
      <c r="J28" s="169">
        <f>INDEX('Detailed Metrics'!$G$57:$BN$57, MATCH('Metrics Dashboard'!J$10, 'Detailed Metrics'!$G$6:$BN$6, 0))</f>
        <v>15.541902341646274</v>
      </c>
      <c r="K28" s="169">
        <f>INDEX('Detailed Metrics'!$G$57:$BN$57, MATCH('Metrics Dashboard'!K$10, 'Detailed Metrics'!$G$6:$BN$6, 0))</f>
        <v>13.764574645578259</v>
      </c>
      <c r="N28" s="169">
        <f>INDEX('Detailed Metrics'!$G$55:$BN$55, MATCH('Metrics Dashboard'!N$10, 'Detailed Metrics'!$G$6:$BN$6, 0))</f>
        <v>6.6666666666666661</v>
      </c>
      <c r="O28" s="169">
        <f>INDEX('Detailed Metrics'!$G$55:$BN$55, MATCH('Metrics Dashboard'!O$10, 'Detailed Metrics'!$G$6:$BN$6, 0))</f>
        <v>6.6666666666666661</v>
      </c>
      <c r="P28" s="169">
        <f>INDEX('Detailed Metrics'!$G$55:$BN$55, MATCH('Metrics Dashboard'!P$10, 'Detailed Metrics'!$G$6:$BN$6, 0))</f>
        <v>6.6666666666666661</v>
      </c>
      <c r="Q28" s="169">
        <f>INDEX('Detailed Metrics'!$G$55:$BN$55, MATCH('Metrics Dashboard'!Q$10, 'Detailed Metrics'!$G$6:$BN$6, 0))</f>
        <v>6.6666666666666661</v>
      </c>
      <c r="R28" s="169">
        <f>INDEX('Detailed Metrics'!$G$55:$BN$55, MATCH('Metrics Dashboard'!R$10, 'Detailed Metrics'!$G$6:$BN$6, 0))</f>
        <v>6.6666666666666661</v>
      </c>
      <c r="S28" s="148"/>
      <c r="T28" s="148"/>
      <c r="U28" s="169">
        <f>INDEX('Detailed Metrics'!$G$56:$BN$56, MATCH('Metrics Dashboard'!U$10, 'Detailed Metrics'!$G$6:$BN$6, 0))</f>
        <v>34.285714285714285</v>
      </c>
      <c r="V28" s="169">
        <f>INDEX('Detailed Metrics'!$G$56:$BN$56, MATCH('Metrics Dashboard'!V$10, 'Detailed Metrics'!$G$6:$BN$6, 0))</f>
        <v>34.285714285714285</v>
      </c>
      <c r="W28" s="169">
        <f>INDEX('Detailed Metrics'!$G$56:$BN$56, MATCH('Metrics Dashboard'!W$10, 'Detailed Metrics'!$G$6:$BN$6, 0))</f>
        <v>34.285714285714285</v>
      </c>
      <c r="X28" s="169">
        <f>INDEX('Detailed Metrics'!$G$56:$BN$56, MATCH('Metrics Dashboard'!X$10, 'Detailed Metrics'!$G$6:$BN$6, 0))</f>
        <v>34.285714285714285</v>
      </c>
      <c r="Y28" s="169">
        <f>INDEX('Detailed Metrics'!$G$56:$BN$56, MATCH('Metrics Dashboard'!Y$10, 'Detailed Metrics'!$G$6:$BN$6, 0))</f>
        <v>34.285714285714285</v>
      </c>
      <c r="Z28" s="148"/>
      <c r="AA28" s="148"/>
      <c r="AB28" s="148"/>
      <c r="AC28" s="148"/>
      <c r="AD28" s="148"/>
      <c r="AL28" s="16" t="s">
        <v>0</v>
      </c>
    </row>
    <row r="29" spans="3:38" ht="3" customHeight="1" x14ac:dyDescent="0.3">
      <c r="N29" s="153"/>
      <c r="O29" s="153"/>
      <c r="P29" s="153"/>
      <c r="Q29" s="153"/>
      <c r="R29" s="153"/>
      <c r="S29" s="148"/>
      <c r="T29" s="148"/>
      <c r="U29" s="153"/>
      <c r="V29" s="148"/>
      <c r="W29" s="148"/>
      <c r="X29" s="148"/>
      <c r="Y29" s="148"/>
      <c r="Z29" s="148"/>
      <c r="AA29" s="148"/>
      <c r="AB29" s="148"/>
      <c r="AC29" s="148"/>
      <c r="AD29" s="148"/>
      <c r="AL29" s="16"/>
    </row>
    <row r="30" spans="3:38" x14ac:dyDescent="0.3">
      <c r="C30" s="96" t="s">
        <v>190</v>
      </c>
      <c r="D30" s="2"/>
      <c r="E30" s="2"/>
      <c r="F30" s="2"/>
      <c r="G30" s="160">
        <f>INDEX('Detailed Metrics'!$G$61:$BN$61, MATCH('Metrics Dashboard'!G$10, 'Detailed Metrics'!$G$6:$BN$6, 0))</f>
        <v>553.60432103039943</v>
      </c>
      <c r="H30" s="160">
        <f>INDEX('Detailed Metrics'!$G$61:$BN$61, MATCH('Metrics Dashboard'!H$10, 'Detailed Metrics'!$G$6:$BN$6, 0))</f>
        <v>531.61607142857133</v>
      </c>
      <c r="I30" s="160">
        <f>INDEX('Detailed Metrics'!$G$61:$BN$61, MATCH('Metrics Dashboard'!I$10, 'Detailed Metrics'!$G$6:$BN$6, 0))</f>
        <v>455.34744055132609</v>
      </c>
      <c r="J30" s="160">
        <f>INDEX('Detailed Metrics'!$G$61:$BN$61, MATCH('Metrics Dashboard'!J$10, 'Detailed Metrics'!$G$6:$BN$6, 0))</f>
        <v>400.66898900629911</v>
      </c>
      <c r="K30" s="160">
        <f>INDEX('Detailed Metrics'!$G$61:$BN$61, MATCH('Metrics Dashboard'!K$10, 'Detailed Metrics'!$G$6:$BN$6, 0))</f>
        <v>356.94276086464788</v>
      </c>
      <c r="N30" s="160">
        <f>INDEX('Detailed Metrics'!$G$59:$BN$59, MATCH('Metrics Dashboard'!N$10, 'Detailed Metrics'!$G$6:$BN$6, 0))</f>
        <v>199.99999999999997</v>
      </c>
      <c r="O30" s="160">
        <f>INDEX('Detailed Metrics'!$G$59:$BN$59, MATCH('Metrics Dashboard'!O$10, 'Detailed Metrics'!$G$6:$BN$6, 0))</f>
        <v>199.99999999999997</v>
      </c>
      <c r="P30" s="160">
        <f>INDEX('Detailed Metrics'!$G$59:$BN$59, MATCH('Metrics Dashboard'!P$10, 'Detailed Metrics'!$G$6:$BN$6, 0))</f>
        <v>199.99999999999997</v>
      </c>
      <c r="Q30" s="160">
        <f>INDEX('Detailed Metrics'!$G$59:$BN$59, MATCH('Metrics Dashboard'!Q$10, 'Detailed Metrics'!$G$6:$BN$6, 0))</f>
        <v>199.99999999999997</v>
      </c>
      <c r="R30" s="160">
        <f>INDEX('Detailed Metrics'!$G$59:$BN$59, MATCH('Metrics Dashboard'!R$10, 'Detailed Metrics'!$G$6:$BN$6, 0))</f>
        <v>199.99999999999997</v>
      </c>
      <c r="S30" s="148"/>
      <c r="T30" s="148"/>
      <c r="U30" s="160">
        <f>INDEX('Detailed Metrics'!$G$60:$BN$60, MATCH('Metrics Dashboard'!U$10, 'Detailed Metrics'!$G$6:$BN$6, 0))</f>
        <v>942.85714285714278</v>
      </c>
      <c r="V30" s="160">
        <f>INDEX('Detailed Metrics'!$G$60:$BN$60, MATCH('Metrics Dashboard'!V$10, 'Detailed Metrics'!$G$6:$BN$6, 0))</f>
        <v>942.85714285714278</v>
      </c>
      <c r="W30" s="160">
        <f>INDEX('Detailed Metrics'!$G$60:$BN$60, MATCH('Metrics Dashboard'!W$10, 'Detailed Metrics'!$G$6:$BN$6, 0))</f>
        <v>857.80937569429011</v>
      </c>
      <c r="X30" s="160">
        <f>INDEX('Detailed Metrics'!$G$60:$BN$60, MATCH('Metrics Dashboard'!X$10, 'Detailed Metrics'!$G$6:$BN$6, 0))</f>
        <v>824.46638782286232</v>
      </c>
      <c r="Y30" s="160">
        <f>INDEX('Detailed Metrics'!$G$60:$BN$60, MATCH('Metrics Dashboard'!Y$10, 'Detailed Metrics'!$G$6:$BN$6, 0))</f>
        <v>810.6883322049199</v>
      </c>
      <c r="Z30" s="148"/>
      <c r="AA30" s="148"/>
      <c r="AB30" s="148"/>
      <c r="AC30" s="148"/>
      <c r="AD30" s="148"/>
      <c r="AL30" s="16" t="s">
        <v>0</v>
      </c>
    </row>
    <row r="31" spans="3:38" ht="3" customHeight="1" x14ac:dyDescent="0.3">
      <c r="N31" s="151"/>
      <c r="O31" s="151"/>
      <c r="P31" s="151"/>
      <c r="Q31" s="151"/>
      <c r="R31" s="151"/>
      <c r="S31" s="148"/>
      <c r="T31" s="148"/>
      <c r="U31" s="151"/>
      <c r="V31" s="148"/>
      <c r="W31" s="148"/>
      <c r="X31" s="148"/>
      <c r="Y31" s="148"/>
      <c r="Z31" s="148"/>
      <c r="AA31" s="148"/>
      <c r="AB31" s="148"/>
      <c r="AC31" s="148"/>
      <c r="AD31" s="148"/>
      <c r="AL31" s="16"/>
    </row>
    <row r="32" spans="3:38" x14ac:dyDescent="0.3">
      <c r="C32" s="96" t="s">
        <v>194</v>
      </c>
      <c r="D32" s="96"/>
      <c r="E32" s="96"/>
      <c r="F32" s="96"/>
      <c r="G32" s="169">
        <f>INDEX('Detailed Metrics'!$G$65:$BN$65, MATCH('Metrics Dashboard'!G$10, 'Detailed Metrics'!$G$6:$BN$6, 0))</f>
        <v>4.0208496369995288</v>
      </c>
      <c r="H32" s="169">
        <f>INDEX('Detailed Metrics'!$G$65:$BN$65, MATCH('Metrics Dashboard'!H$10, 'Detailed Metrics'!$G$6:$BN$6, 0))</f>
        <v>3.1941201975090538</v>
      </c>
      <c r="I32" s="169">
        <f>INDEX('Detailed Metrics'!$G$65:$BN$65, MATCH('Metrics Dashboard'!I$10, 'Detailed Metrics'!$G$6:$BN$6, 0))</f>
        <v>2.6043023952608686</v>
      </c>
      <c r="J32" s="169">
        <f>INDEX('Detailed Metrics'!$G$65:$BN$65, MATCH('Metrics Dashboard'!J$10, 'Detailed Metrics'!$G$6:$BN$6, 0))</f>
        <v>2.0577092110703741</v>
      </c>
      <c r="K32" s="169">
        <f>INDEX('Detailed Metrics'!$G$65:$BN$65, MATCH('Metrics Dashboard'!K$10, 'Detailed Metrics'!$G$6:$BN$6, 0))</f>
        <v>1.6101515730245137</v>
      </c>
      <c r="N32" s="169">
        <f>INDEX('Detailed Metrics'!$G$63:$BN$63, MATCH('Metrics Dashboard'!N$10, 'Detailed Metrics'!$G$6:$BN$6, 0))</f>
        <v>2.8579166666666667</v>
      </c>
      <c r="O32" s="169">
        <f>INDEX('Detailed Metrics'!$G$63:$BN$63, MATCH('Metrics Dashboard'!O$10, 'Detailed Metrics'!$G$6:$BN$6, 0))</f>
        <v>2.3277909869791666</v>
      </c>
      <c r="P32" s="169">
        <f>INDEX('Detailed Metrics'!$G$63:$BN$63, MATCH('Metrics Dashboard'!P$10, 'Detailed Metrics'!$G$6:$BN$6, 0))</f>
        <v>1.8960003075881999</v>
      </c>
      <c r="Q32" s="169">
        <f>INDEX('Detailed Metrics'!$G$63:$BN$63, MATCH('Metrics Dashboard'!Q$10, 'Detailed Metrics'!$G$6:$BN$6, 0))</f>
        <v>1.5443041005325111</v>
      </c>
      <c r="R32" s="169">
        <f>INDEX('Detailed Metrics'!$G$63:$BN$63, MATCH('Metrics Dashboard'!R$10, 'Detailed Metrics'!$G$6:$BN$6, 0))</f>
        <v>1.2578453417843589</v>
      </c>
      <c r="S32" s="148"/>
      <c r="T32" s="148"/>
      <c r="U32" s="169">
        <f>INDEX('Detailed Metrics'!$G$64:$BN$64, MATCH('Metrics Dashboard'!U$10, 'Detailed Metrics'!$G$6:$BN$6, 0))</f>
        <v>6.6376218181818185</v>
      </c>
      <c r="V32" s="169">
        <f>INDEX('Detailed Metrics'!$G$64:$BN$64, MATCH('Metrics Dashboard'!V$10, 'Detailed Metrics'!$G$6:$BN$6, 0))</f>
        <v>5.8762388711354916</v>
      </c>
      <c r="W32" s="169">
        <f>INDEX('Detailed Metrics'!$G$64:$BN$64, MATCH('Metrics Dashboard'!W$10, 'Detailed Metrics'!$G$6:$BN$6, 0))</f>
        <v>5.7179649067367304</v>
      </c>
      <c r="X32" s="169">
        <f>INDEX('Detailed Metrics'!$G$64:$BN$64, MATCH('Metrics Dashboard'!X$10, 'Detailed Metrics'!$G$6:$BN$6, 0))</f>
        <v>5.2667930827757443</v>
      </c>
      <c r="Y32" s="169">
        <f>INDEX('Detailed Metrics'!$G$64:$BN$64, MATCH('Metrics Dashboard'!Y$10, 'Detailed Metrics'!$G$6:$BN$6, 0))</f>
        <v>4.7418981967046356</v>
      </c>
      <c r="Z32" s="148"/>
      <c r="AA32" s="148"/>
      <c r="AB32" s="148"/>
      <c r="AC32" s="148"/>
      <c r="AD32" s="148"/>
      <c r="AL32" s="16" t="s">
        <v>0</v>
      </c>
    </row>
    <row r="33" spans="3:38" ht="3" customHeight="1" x14ac:dyDescent="0.3">
      <c r="N33" s="153"/>
      <c r="O33" s="153"/>
      <c r="P33" s="153"/>
      <c r="Q33" s="153"/>
      <c r="R33" s="153"/>
      <c r="S33" s="148"/>
      <c r="T33" s="148"/>
      <c r="U33" s="153"/>
      <c r="V33" s="148"/>
      <c r="W33" s="148"/>
      <c r="X33" s="148"/>
      <c r="Y33" s="148"/>
      <c r="Z33" s="148"/>
      <c r="AA33" s="148"/>
      <c r="AB33" s="148"/>
      <c r="AC33" s="148"/>
      <c r="AD33" s="148"/>
      <c r="AL33" s="16"/>
    </row>
    <row r="34" spans="3:38" x14ac:dyDescent="0.3">
      <c r="C34" s="96" t="s">
        <v>187</v>
      </c>
      <c r="D34" s="2"/>
      <c r="E34" s="2"/>
      <c r="F34" s="2"/>
      <c r="G34" s="160">
        <f>INDEX('Detailed Metrics'!$G$43:$BN$43, MATCH('Metrics Dashboard'!G$10, 'Detailed Metrics'!$G$6:$BN$6, 0))</f>
        <v>115.84061957104556</v>
      </c>
      <c r="H34" s="160">
        <f>INDEX('Detailed Metrics'!$G$43:$BN$43, MATCH('Metrics Dashboard'!H$10, 'Detailed Metrics'!$G$6:$BN$6, 0))</f>
        <v>92.25891787672343</v>
      </c>
      <c r="I34" s="160">
        <f>INDEX('Detailed Metrics'!$G$43:$BN$43, MATCH('Metrics Dashboard'!I$10, 'Detailed Metrics'!$G$6:$BN$6, 0))</f>
        <v>73.094053876976915</v>
      </c>
      <c r="J34" s="160">
        <f>INDEX('Detailed Metrics'!$G$43:$BN$43, MATCH('Metrics Dashboard'!J$10, 'Detailed Metrics'!$G$6:$BN$6, 0))</f>
        <v>57.794908030559746</v>
      </c>
      <c r="K34" s="160">
        <f>INDEX('Detailed Metrics'!$G$43:$BN$43, MATCH('Metrics Dashboard'!K$10, 'Detailed Metrics'!$G$6:$BN$6, 0))</f>
        <v>45.674892259515971</v>
      </c>
      <c r="N34" s="160">
        <f>INDEX('Detailed Metrics'!$G$41:$BN$41, MATCH('Metrics Dashboard'!N$10, 'Detailed Metrics'!$G$6:$BN$6, 0))</f>
        <v>85.737499999999997</v>
      </c>
      <c r="O34" s="160">
        <f>INDEX('Detailed Metrics'!$G$41:$BN$41, MATCH('Metrics Dashboard'!O$10, 'Detailed Metrics'!$G$6:$BN$6, 0))</f>
        <v>69.833729609374998</v>
      </c>
      <c r="P34" s="160">
        <f>INDEX('Detailed Metrics'!$G$41:$BN$41, MATCH('Metrics Dashboard'!P$10, 'Detailed Metrics'!$G$6:$BN$6, 0))</f>
        <v>56.880009227645999</v>
      </c>
      <c r="Q34" s="160">
        <f>INDEX('Detailed Metrics'!$G$41:$BN$41, MATCH('Metrics Dashboard'!Q$10, 'Detailed Metrics'!$G$6:$BN$6, 0))</f>
        <v>46.329123015975334</v>
      </c>
      <c r="R34" s="160">
        <f>INDEX('Detailed Metrics'!$G$41:$BN$41, MATCH('Metrics Dashboard'!R$10, 'Detailed Metrics'!$G$6:$BN$6, 0))</f>
        <v>37.735360253530764</v>
      </c>
      <c r="S34" s="148"/>
      <c r="T34" s="148"/>
      <c r="U34" s="160">
        <f>INDEX('Detailed Metrics'!$G$42:$BN$42, MATCH('Metrics Dashboard'!U$10, 'Detailed Metrics'!$G$6:$BN$6, 0))</f>
        <v>182.53460000000001</v>
      </c>
      <c r="V34" s="160">
        <f>INDEX('Detailed Metrics'!$G$42:$BN$42, MATCH('Metrics Dashboard'!V$10, 'Detailed Metrics'!$G$6:$BN$6, 0))</f>
        <v>161.59656895622601</v>
      </c>
      <c r="W34" s="160">
        <f>INDEX('Detailed Metrics'!$G$42:$BN$42, MATCH('Metrics Dashboard'!W$10, 'Detailed Metrics'!$G$6:$BN$6, 0))</f>
        <v>143.06028061761609</v>
      </c>
      <c r="X34" s="160">
        <f>INDEX('Detailed Metrics'!$G$42:$BN$42, MATCH('Metrics Dashboard'!X$10, 'Detailed Metrics'!$G$6:$BN$6, 0))</f>
        <v>126.65023782735787</v>
      </c>
      <c r="Y34" s="160">
        <f>INDEX('Detailed Metrics'!$G$42:$BN$42, MATCH('Metrics Dashboard'!Y$10, 'Detailed Metrics'!$G$6:$BN$6, 0))</f>
        <v>112.12254493334994</v>
      </c>
      <c r="Z34" s="148"/>
      <c r="AA34" s="148"/>
      <c r="AB34" s="148"/>
      <c r="AC34" s="148"/>
      <c r="AD34" s="148"/>
      <c r="AL34" s="16" t="s">
        <v>0</v>
      </c>
    </row>
    <row r="35" spans="3:38" ht="3" customHeight="1" x14ac:dyDescent="0.3">
      <c r="N35" s="151"/>
      <c r="O35" s="151"/>
      <c r="P35" s="151"/>
      <c r="Q35" s="151"/>
      <c r="R35" s="151"/>
      <c r="S35" s="148"/>
      <c r="T35" s="148"/>
      <c r="U35" s="151"/>
      <c r="V35" s="148"/>
      <c r="W35" s="148"/>
      <c r="X35" s="148"/>
      <c r="Y35" s="148"/>
      <c r="Z35" s="148"/>
      <c r="AA35" s="148"/>
      <c r="AB35" s="148"/>
      <c r="AC35" s="148"/>
      <c r="AD35" s="148"/>
      <c r="AL35" s="16"/>
    </row>
    <row r="36" spans="3:38" x14ac:dyDescent="0.3">
      <c r="C36" s="96" t="s">
        <v>191</v>
      </c>
      <c r="D36" s="96"/>
      <c r="E36" s="96"/>
      <c r="F36" s="96"/>
      <c r="G36" s="170">
        <f>G30/G34</f>
        <v>4.7790172659675001</v>
      </c>
      <c r="H36" s="170">
        <f t="shared" ref="H36:K36" si="36">H30/H34</f>
        <v>5.7622188040284401</v>
      </c>
      <c r="I36" s="170">
        <f t="shared" si="36"/>
        <v>6.2296098847891503</v>
      </c>
      <c r="J36" s="170">
        <f t="shared" si="36"/>
        <v>6.9326001659945646</v>
      </c>
      <c r="K36" s="170">
        <f t="shared" si="36"/>
        <v>7.8148572050606626</v>
      </c>
      <c r="N36" s="170">
        <f>N30/N34</f>
        <v>2.3327015599941681</v>
      </c>
      <c r="O36" s="170">
        <f t="shared" ref="O36:R36" si="37">O30/O34</f>
        <v>2.8639455621048553</v>
      </c>
      <c r="P36" s="170">
        <f t="shared" si="37"/>
        <v>3.5161738318212481</v>
      </c>
      <c r="Q36" s="170">
        <f t="shared" si="37"/>
        <v>4.316939043526367</v>
      </c>
      <c r="R36" s="170">
        <f t="shared" si="37"/>
        <v>5.3000686532808885</v>
      </c>
      <c r="S36" s="148"/>
      <c r="T36" s="148"/>
      <c r="U36" s="170">
        <f>U30/U34</f>
        <v>5.1653612129269888</v>
      </c>
      <c r="V36" s="170">
        <f t="shared" ref="V36:Y36" si="38">V30/V34</f>
        <v>5.8346359019079674</v>
      </c>
      <c r="W36" s="170">
        <f t="shared" si="38"/>
        <v>5.9961393336499693</v>
      </c>
      <c r="X36" s="170">
        <f t="shared" si="38"/>
        <v>6.509789495592786</v>
      </c>
      <c r="Y36" s="170">
        <f t="shared" si="38"/>
        <v>7.2303775541914872</v>
      </c>
      <c r="Z36" s="148"/>
      <c r="AA36" s="148"/>
      <c r="AB36" s="148"/>
      <c r="AC36" s="148"/>
      <c r="AD36" s="148"/>
      <c r="AL36" s="16" t="s">
        <v>0</v>
      </c>
    </row>
    <row r="37" spans="3:38" ht="3" customHeight="1" x14ac:dyDescent="0.3">
      <c r="N37" s="154"/>
      <c r="O37" s="154"/>
      <c r="P37" s="154"/>
      <c r="Q37" s="154"/>
      <c r="R37" s="154"/>
      <c r="S37" s="148"/>
      <c r="T37" s="148"/>
      <c r="U37" s="155"/>
      <c r="V37" s="148"/>
      <c r="W37" s="148"/>
      <c r="X37" s="148"/>
      <c r="Y37" s="148"/>
      <c r="Z37" s="148"/>
      <c r="AA37" s="148"/>
      <c r="AB37" s="148"/>
      <c r="AC37" s="148"/>
      <c r="AD37" s="148"/>
      <c r="AL37" s="16"/>
    </row>
    <row r="38" spans="3:38" x14ac:dyDescent="0.3">
      <c r="C38" s="96" t="s">
        <v>221</v>
      </c>
      <c r="D38" s="96"/>
      <c r="E38" s="96"/>
      <c r="F38" s="96"/>
      <c r="G38" s="160">
        <f>INDEX('Detailed Metrics'!$G$89:$BN$89, MATCH('Metrics Dashboard'!G$10, 'Detailed Metrics'!$G$6:$BN$6, 0))</f>
        <v>-132040.71776666664</v>
      </c>
      <c r="H38" s="160">
        <f>INDEX('Detailed Metrics'!$G$89:$BN$89, MATCH('Metrics Dashboard'!H$10, 'Detailed Metrics'!$G$6:$BN$6, 0))</f>
        <v>-240191.72012567392</v>
      </c>
      <c r="I38" s="160">
        <f>INDEX('Detailed Metrics'!$G$89:$BN$89, MATCH('Metrics Dashboard'!I$10, 'Detailed Metrics'!$G$6:$BN$6, 0))</f>
        <v>-368801.10642950132</v>
      </c>
      <c r="J38" s="160">
        <f>INDEX('Detailed Metrics'!$G$89:$BN$89, MATCH('Metrics Dashboard'!J$10, 'Detailed Metrics'!$G$6:$BN$6, 0))</f>
        <v>-536327.94881677476</v>
      </c>
      <c r="K38" s="160">
        <f>INDEX('Detailed Metrics'!$G$89:$BN$89, MATCH('Metrics Dashboard'!K$10, 'Detailed Metrics'!$G$6:$BN$6, 0))</f>
        <v>-838306.95665195049</v>
      </c>
      <c r="N38" s="161"/>
      <c r="O38" s="161"/>
      <c r="P38" s="161"/>
      <c r="Q38" s="161"/>
      <c r="R38" s="161"/>
      <c r="S38" s="148"/>
      <c r="T38" s="148"/>
      <c r="U38" s="161"/>
      <c r="V38" s="161"/>
      <c r="W38" s="161"/>
      <c r="X38" s="161"/>
      <c r="Y38" s="161"/>
      <c r="Z38" s="148"/>
      <c r="AA38" s="148"/>
      <c r="AB38" s="148"/>
      <c r="AC38" s="148"/>
      <c r="AD38" s="148"/>
      <c r="AL38" s="16"/>
    </row>
    <row r="39" spans="3:38" ht="3" customHeight="1" x14ac:dyDescent="0.3">
      <c r="N39" s="154"/>
      <c r="O39" s="154"/>
      <c r="P39" s="154"/>
      <c r="Q39" s="154"/>
      <c r="R39" s="154"/>
      <c r="S39" s="148"/>
      <c r="T39" s="148"/>
      <c r="U39" s="151"/>
      <c r="V39" s="148"/>
      <c r="W39" s="148"/>
      <c r="X39" s="148"/>
      <c r="Y39" s="148"/>
      <c r="Z39" s="148"/>
      <c r="AA39" s="148"/>
      <c r="AB39" s="148"/>
      <c r="AC39" s="148"/>
      <c r="AD39" s="148"/>
      <c r="AL39" s="16"/>
    </row>
    <row r="40" spans="3:38" x14ac:dyDescent="0.3">
      <c r="C40" s="96" t="s">
        <v>172</v>
      </c>
      <c r="D40" s="2"/>
      <c r="E40" s="2"/>
      <c r="F40" s="2"/>
      <c r="G40" s="171">
        <f>INDEX('Detailed Metrics'!$G$91:$BN$91, MATCH('Metrics Dashboard'!G$10, 'Detailed Metrics'!$G$6:$BN$6, 0))</f>
        <v>20.251643829243349</v>
      </c>
      <c r="H40" s="171">
        <f>INDEX('Detailed Metrics'!$G$91:$BN$91, MATCH('Metrics Dashboard'!H$10, 'Detailed Metrics'!$G$6:$BN$6, 0))</f>
        <v>15.230927084697141</v>
      </c>
      <c r="I40" s="171">
        <f>INDEX('Detailed Metrics'!$G$91:$BN$91, MATCH('Metrics Dashboard'!I$10, 'Detailed Metrics'!$G$6:$BN$6, 0))</f>
        <v>8.7877787914338796</v>
      </c>
      <c r="J40" s="171">
        <f>INDEX('Detailed Metrics'!$G$91:$BN$91, MATCH('Metrics Dashboard'!J$10, 'Detailed Metrics'!$G$6:$BN$6, 0))</f>
        <v>4.4143126304391016</v>
      </c>
      <c r="K40" s="171">
        <f>INDEX('Detailed Metrics'!$G$91:$BN$91, MATCH('Metrics Dashboard'!K$10, 'Detailed Metrics'!$G$6:$BN$6, 0))</f>
        <v>2.3397605460752899</v>
      </c>
      <c r="N40" s="161"/>
      <c r="O40" s="161"/>
      <c r="P40" s="161"/>
      <c r="Q40" s="161"/>
      <c r="R40" s="161"/>
      <c r="S40" s="148"/>
      <c r="T40" s="148"/>
      <c r="U40" s="161"/>
      <c r="V40" s="161"/>
      <c r="W40" s="161"/>
      <c r="X40" s="161"/>
      <c r="Y40" s="161"/>
      <c r="Z40" s="148"/>
      <c r="AA40" s="148"/>
      <c r="AB40" s="148"/>
      <c r="AC40" s="148"/>
      <c r="AD40" s="14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50A7-A1A8-4D37-9B63-496C9BD65949}">
  <sheetPr>
    <tabColor theme="9" tint="0.59999389629810485"/>
  </sheetPr>
  <dimension ref="A3:BO91"/>
  <sheetViews>
    <sheetView showGridLines="0"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defaultRowHeight="14.4" x14ac:dyDescent="0.3"/>
  <cols>
    <col min="1" max="2" width="3.5546875" customWidth="1"/>
    <col min="3" max="3" width="39.33203125" bestFit="1" customWidth="1"/>
    <col min="4" max="4" width="6.44140625" bestFit="1" customWidth="1"/>
    <col min="5" max="5" width="14.88671875" bestFit="1" customWidth="1"/>
    <col min="6" max="6" width="6.44140625" bestFit="1" customWidth="1"/>
    <col min="7" max="66" width="12.5546875" customWidth="1"/>
  </cols>
  <sheetData>
    <row r="3" spans="1:67" x14ac:dyDescent="0.3"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7" x14ac:dyDescent="0.3">
      <c r="C4" s="56"/>
      <c r="D4" s="56"/>
      <c r="E4" s="56"/>
      <c r="F4" s="56"/>
      <c r="G4" s="60">
        <f>YEAR(G6)</f>
        <v>2024</v>
      </c>
      <c r="H4" s="60">
        <f t="shared" ref="H4:AD4" si="0">YEAR(H6)</f>
        <v>2024</v>
      </c>
      <c r="I4" s="60">
        <f t="shared" si="0"/>
        <v>2024</v>
      </c>
      <c r="J4" s="60">
        <f t="shared" si="0"/>
        <v>2024</v>
      </c>
      <c r="K4" s="60">
        <f t="shared" si="0"/>
        <v>2024</v>
      </c>
      <c r="L4" s="60">
        <f t="shared" si="0"/>
        <v>2024</v>
      </c>
      <c r="M4" s="60">
        <f t="shared" si="0"/>
        <v>2024</v>
      </c>
      <c r="N4" s="60">
        <f t="shared" si="0"/>
        <v>2024</v>
      </c>
      <c r="O4" s="60">
        <f t="shared" si="0"/>
        <v>2024</v>
      </c>
      <c r="P4" s="60">
        <f t="shared" si="0"/>
        <v>2024</v>
      </c>
      <c r="Q4" s="60">
        <f t="shared" si="0"/>
        <v>2024</v>
      </c>
      <c r="R4" s="60">
        <f t="shared" si="0"/>
        <v>2024</v>
      </c>
      <c r="S4" s="60">
        <f t="shared" si="0"/>
        <v>2025</v>
      </c>
      <c r="T4" s="60">
        <f t="shared" si="0"/>
        <v>2025</v>
      </c>
      <c r="U4" s="60">
        <f t="shared" si="0"/>
        <v>2025</v>
      </c>
      <c r="V4" s="60">
        <f t="shared" si="0"/>
        <v>2025</v>
      </c>
      <c r="W4" s="60">
        <f t="shared" si="0"/>
        <v>2025</v>
      </c>
      <c r="X4" s="60">
        <f t="shared" si="0"/>
        <v>2025</v>
      </c>
      <c r="Y4" s="60">
        <f t="shared" si="0"/>
        <v>2025</v>
      </c>
      <c r="Z4" s="60">
        <f t="shared" si="0"/>
        <v>2025</v>
      </c>
      <c r="AA4" s="60">
        <f t="shared" si="0"/>
        <v>2025</v>
      </c>
      <c r="AB4" s="60">
        <f t="shared" si="0"/>
        <v>2025</v>
      </c>
      <c r="AC4" s="60">
        <f t="shared" si="0"/>
        <v>2025</v>
      </c>
      <c r="AD4" s="60">
        <f t="shared" si="0"/>
        <v>2025</v>
      </c>
      <c r="AE4" s="60">
        <f t="shared" ref="AE4:AW4" si="1">YEAR(AE6)</f>
        <v>2026</v>
      </c>
      <c r="AF4" s="60">
        <f t="shared" si="1"/>
        <v>2026</v>
      </c>
      <c r="AG4" s="60">
        <f t="shared" si="1"/>
        <v>2026</v>
      </c>
      <c r="AH4" s="60">
        <f t="shared" si="1"/>
        <v>2026</v>
      </c>
      <c r="AI4" s="60">
        <f t="shared" si="1"/>
        <v>2026</v>
      </c>
      <c r="AJ4" s="60">
        <f t="shared" si="1"/>
        <v>2026</v>
      </c>
      <c r="AK4" s="60">
        <f t="shared" si="1"/>
        <v>2026</v>
      </c>
      <c r="AL4" s="60">
        <f t="shared" si="1"/>
        <v>2026</v>
      </c>
      <c r="AM4" s="60">
        <f t="shared" si="1"/>
        <v>2026</v>
      </c>
      <c r="AN4" s="60">
        <f t="shared" si="1"/>
        <v>2026</v>
      </c>
      <c r="AO4" s="60">
        <f t="shared" si="1"/>
        <v>2026</v>
      </c>
      <c r="AP4" s="60">
        <f t="shared" si="1"/>
        <v>2026</v>
      </c>
      <c r="AQ4" s="60">
        <f t="shared" si="1"/>
        <v>2027</v>
      </c>
      <c r="AR4" s="60">
        <f t="shared" si="1"/>
        <v>2027</v>
      </c>
      <c r="AS4" s="60">
        <f t="shared" si="1"/>
        <v>2027</v>
      </c>
      <c r="AT4" s="60">
        <f t="shared" si="1"/>
        <v>2027</v>
      </c>
      <c r="AU4" s="60">
        <f t="shared" si="1"/>
        <v>2027</v>
      </c>
      <c r="AV4" s="60">
        <f t="shared" si="1"/>
        <v>2027</v>
      </c>
      <c r="AW4" s="60">
        <f t="shared" si="1"/>
        <v>2027</v>
      </c>
      <c r="AX4" s="60">
        <f t="shared" ref="AX4:BM4" si="2">YEAR(AX6)</f>
        <v>2027</v>
      </c>
      <c r="AY4" s="60">
        <f t="shared" si="2"/>
        <v>2027</v>
      </c>
      <c r="AZ4" s="60">
        <f t="shared" si="2"/>
        <v>2027</v>
      </c>
      <c r="BA4" s="60">
        <f t="shared" si="2"/>
        <v>2027</v>
      </c>
      <c r="BB4" s="60">
        <f t="shared" si="2"/>
        <v>2027</v>
      </c>
      <c r="BC4" s="60">
        <f t="shared" si="2"/>
        <v>2028</v>
      </c>
      <c r="BD4" s="60">
        <f t="shared" si="2"/>
        <v>2028</v>
      </c>
      <c r="BE4" s="60">
        <f t="shared" si="2"/>
        <v>2028</v>
      </c>
      <c r="BF4" s="60">
        <f t="shared" si="2"/>
        <v>2028</v>
      </c>
      <c r="BG4" s="60">
        <f t="shared" si="2"/>
        <v>2028</v>
      </c>
      <c r="BH4" s="60">
        <f t="shared" si="2"/>
        <v>2028</v>
      </c>
      <c r="BI4" s="60">
        <f t="shared" si="2"/>
        <v>2028</v>
      </c>
      <c r="BJ4" s="60">
        <f t="shared" si="2"/>
        <v>2028</v>
      </c>
      <c r="BK4" s="60">
        <f t="shared" si="2"/>
        <v>2028</v>
      </c>
      <c r="BL4" s="60">
        <f t="shared" si="2"/>
        <v>2028</v>
      </c>
      <c r="BM4" s="60">
        <f t="shared" si="2"/>
        <v>2028</v>
      </c>
      <c r="BN4" s="60">
        <f t="shared" ref="BN4" si="3">YEAR(BN6)</f>
        <v>2028</v>
      </c>
    </row>
    <row r="5" spans="1:67" x14ac:dyDescent="0.3">
      <c r="C5" s="56"/>
      <c r="D5" s="56"/>
      <c r="E5" s="56"/>
      <c r="F5" s="56"/>
      <c r="G5" s="59">
        <f>ROUNDUP(MONTH(G6)/3,0)</f>
        <v>1</v>
      </c>
      <c r="H5" s="59">
        <f t="shared" ref="H5:BN5" si="4">ROUNDUP(MONTH(H6)/3,0)</f>
        <v>1</v>
      </c>
      <c r="I5" s="59">
        <f t="shared" si="4"/>
        <v>1</v>
      </c>
      <c r="J5" s="59">
        <f t="shared" si="4"/>
        <v>2</v>
      </c>
      <c r="K5" s="59">
        <f t="shared" si="4"/>
        <v>2</v>
      </c>
      <c r="L5" s="59">
        <f t="shared" si="4"/>
        <v>2</v>
      </c>
      <c r="M5" s="59">
        <f t="shared" si="4"/>
        <v>3</v>
      </c>
      <c r="N5" s="59">
        <f t="shared" si="4"/>
        <v>3</v>
      </c>
      <c r="O5" s="59">
        <f t="shared" si="4"/>
        <v>3</v>
      </c>
      <c r="P5" s="59">
        <f t="shared" si="4"/>
        <v>4</v>
      </c>
      <c r="Q5" s="59">
        <f t="shared" si="4"/>
        <v>4</v>
      </c>
      <c r="R5" s="59">
        <f t="shared" si="4"/>
        <v>4</v>
      </c>
      <c r="S5" s="59">
        <f t="shared" si="4"/>
        <v>1</v>
      </c>
      <c r="T5" s="59">
        <f t="shared" si="4"/>
        <v>1</v>
      </c>
      <c r="U5" s="59">
        <f t="shared" si="4"/>
        <v>1</v>
      </c>
      <c r="V5" s="59">
        <f t="shared" si="4"/>
        <v>2</v>
      </c>
      <c r="W5" s="59">
        <f t="shared" si="4"/>
        <v>2</v>
      </c>
      <c r="X5" s="59">
        <f t="shared" si="4"/>
        <v>2</v>
      </c>
      <c r="Y5" s="59">
        <f t="shared" si="4"/>
        <v>3</v>
      </c>
      <c r="Z5" s="59">
        <f t="shared" si="4"/>
        <v>3</v>
      </c>
      <c r="AA5" s="59">
        <f t="shared" si="4"/>
        <v>3</v>
      </c>
      <c r="AB5" s="59">
        <f t="shared" si="4"/>
        <v>4</v>
      </c>
      <c r="AC5" s="59">
        <f t="shared" si="4"/>
        <v>4</v>
      </c>
      <c r="AD5" s="59">
        <f t="shared" si="4"/>
        <v>4</v>
      </c>
      <c r="AE5" s="59">
        <f t="shared" si="4"/>
        <v>1</v>
      </c>
      <c r="AF5" s="59">
        <f t="shared" si="4"/>
        <v>1</v>
      </c>
      <c r="AG5" s="59">
        <f t="shared" si="4"/>
        <v>1</v>
      </c>
      <c r="AH5" s="59">
        <f t="shared" si="4"/>
        <v>2</v>
      </c>
      <c r="AI5" s="59">
        <f t="shared" si="4"/>
        <v>2</v>
      </c>
      <c r="AJ5" s="59">
        <f t="shared" si="4"/>
        <v>2</v>
      </c>
      <c r="AK5" s="59">
        <f t="shared" si="4"/>
        <v>3</v>
      </c>
      <c r="AL5" s="59">
        <f t="shared" si="4"/>
        <v>3</v>
      </c>
      <c r="AM5" s="59">
        <f t="shared" si="4"/>
        <v>3</v>
      </c>
      <c r="AN5" s="59">
        <f t="shared" si="4"/>
        <v>4</v>
      </c>
      <c r="AO5" s="59">
        <f t="shared" si="4"/>
        <v>4</v>
      </c>
      <c r="AP5" s="59">
        <f t="shared" si="4"/>
        <v>4</v>
      </c>
      <c r="AQ5" s="59">
        <f t="shared" si="4"/>
        <v>1</v>
      </c>
      <c r="AR5" s="59">
        <f t="shared" si="4"/>
        <v>1</v>
      </c>
      <c r="AS5" s="59">
        <f t="shared" si="4"/>
        <v>1</v>
      </c>
      <c r="AT5" s="59">
        <f t="shared" si="4"/>
        <v>2</v>
      </c>
      <c r="AU5" s="59">
        <f t="shared" si="4"/>
        <v>2</v>
      </c>
      <c r="AV5" s="59">
        <f t="shared" si="4"/>
        <v>2</v>
      </c>
      <c r="AW5" s="59">
        <f t="shared" si="4"/>
        <v>3</v>
      </c>
      <c r="AX5" s="59">
        <f t="shared" si="4"/>
        <v>3</v>
      </c>
      <c r="AY5" s="59">
        <f t="shared" si="4"/>
        <v>3</v>
      </c>
      <c r="AZ5" s="59">
        <f t="shared" si="4"/>
        <v>4</v>
      </c>
      <c r="BA5" s="59">
        <f t="shared" si="4"/>
        <v>4</v>
      </c>
      <c r="BB5" s="59">
        <f t="shared" si="4"/>
        <v>4</v>
      </c>
      <c r="BC5" s="59">
        <f t="shared" si="4"/>
        <v>1</v>
      </c>
      <c r="BD5" s="59">
        <f t="shared" si="4"/>
        <v>1</v>
      </c>
      <c r="BE5" s="59">
        <f t="shared" si="4"/>
        <v>1</v>
      </c>
      <c r="BF5" s="59">
        <f t="shared" si="4"/>
        <v>2</v>
      </c>
      <c r="BG5" s="59">
        <f t="shared" si="4"/>
        <v>2</v>
      </c>
      <c r="BH5" s="59">
        <f t="shared" si="4"/>
        <v>2</v>
      </c>
      <c r="BI5" s="59">
        <f t="shared" si="4"/>
        <v>3</v>
      </c>
      <c r="BJ5" s="59">
        <f t="shared" si="4"/>
        <v>3</v>
      </c>
      <c r="BK5" s="59">
        <f t="shared" si="4"/>
        <v>3</v>
      </c>
      <c r="BL5" s="59">
        <f t="shared" si="4"/>
        <v>4</v>
      </c>
      <c r="BM5" s="59">
        <f t="shared" si="4"/>
        <v>4</v>
      </c>
      <c r="BN5" s="59">
        <f t="shared" si="4"/>
        <v>4</v>
      </c>
    </row>
    <row r="6" spans="1:67" x14ac:dyDescent="0.3">
      <c r="C6" s="56"/>
      <c r="D6" s="56"/>
      <c r="E6" s="56"/>
      <c r="F6" s="56"/>
      <c r="G6" s="61">
        <v>45292</v>
      </c>
      <c r="H6" s="61">
        <f t="shared" ref="H6:BN6" si="5">EDATE($G6,H$7-1)</f>
        <v>45323</v>
      </c>
      <c r="I6" s="61">
        <f t="shared" si="5"/>
        <v>45352</v>
      </c>
      <c r="J6" s="61">
        <f t="shared" si="5"/>
        <v>45383</v>
      </c>
      <c r="K6" s="61">
        <f t="shared" si="5"/>
        <v>45413</v>
      </c>
      <c r="L6" s="61">
        <f t="shared" si="5"/>
        <v>45444</v>
      </c>
      <c r="M6" s="61">
        <f t="shared" si="5"/>
        <v>45474</v>
      </c>
      <c r="N6" s="61">
        <f t="shared" si="5"/>
        <v>45505</v>
      </c>
      <c r="O6" s="61">
        <f t="shared" si="5"/>
        <v>45536</v>
      </c>
      <c r="P6" s="61">
        <f t="shared" si="5"/>
        <v>45566</v>
      </c>
      <c r="Q6" s="61">
        <f t="shared" si="5"/>
        <v>45597</v>
      </c>
      <c r="R6" s="61">
        <f t="shared" si="5"/>
        <v>45627</v>
      </c>
      <c r="S6" s="61">
        <f t="shared" si="5"/>
        <v>45658</v>
      </c>
      <c r="T6" s="61">
        <f t="shared" si="5"/>
        <v>45689</v>
      </c>
      <c r="U6" s="61">
        <f t="shared" si="5"/>
        <v>45717</v>
      </c>
      <c r="V6" s="61">
        <f t="shared" si="5"/>
        <v>45748</v>
      </c>
      <c r="W6" s="61">
        <f t="shared" si="5"/>
        <v>45778</v>
      </c>
      <c r="X6" s="61">
        <f t="shared" si="5"/>
        <v>45809</v>
      </c>
      <c r="Y6" s="61">
        <f t="shared" si="5"/>
        <v>45839</v>
      </c>
      <c r="Z6" s="61">
        <f t="shared" si="5"/>
        <v>45870</v>
      </c>
      <c r="AA6" s="61">
        <f t="shared" si="5"/>
        <v>45901</v>
      </c>
      <c r="AB6" s="61">
        <f t="shared" si="5"/>
        <v>45931</v>
      </c>
      <c r="AC6" s="61">
        <f t="shared" si="5"/>
        <v>45962</v>
      </c>
      <c r="AD6" s="61">
        <f t="shared" si="5"/>
        <v>45992</v>
      </c>
      <c r="AE6" s="61">
        <f t="shared" si="5"/>
        <v>46023</v>
      </c>
      <c r="AF6" s="61">
        <f t="shared" si="5"/>
        <v>46054</v>
      </c>
      <c r="AG6" s="61">
        <f t="shared" si="5"/>
        <v>46082</v>
      </c>
      <c r="AH6" s="61">
        <f t="shared" si="5"/>
        <v>46113</v>
      </c>
      <c r="AI6" s="61">
        <f t="shared" si="5"/>
        <v>46143</v>
      </c>
      <c r="AJ6" s="61">
        <f t="shared" si="5"/>
        <v>46174</v>
      </c>
      <c r="AK6" s="61">
        <f t="shared" si="5"/>
        <v>46204</v>
      </c>
      <c r="AL6" s="61">
        <f t="shared" si="5"/>
        <v>46235</v>
      </c>
      <c r="AM6" s="61">
        <f t="shared" si="5"/>
        <v>46266</v>
      </c>
      <c r="AN6" s="61">
        <f t="shared" si="5"/>
        <v>46296</v>
      </c>
      <c r="AO6" s="61">
        <f t="shared" si="5"/>
        <v>46327</v>
      </c>
      <c r="AP6" s="61">
        <f t="shared" si="5"/>
        <v>46357</v>
      </c>
      <c r="AQ6" s="61">
        <f t="shared" si="5"/>
        <v>46388</v>
      </c>
      <c r="AR6" s="61">
        <f t="shared" si="5"/>
        <v>46419</v>
      </c>
      <c r="AS6" s="61">
        <f t="shared" si="5"/>
        <v>46447</v>
      </c>
      <c r="AT6" s="61">
        <f t="shared" si="5"/>
        <v>46478</v>
      </c>
      <c r="AU6" s="61">
        <f t="shared" si="5"/>
        <v>46508</v>
      </c>
      <c r="AV6" s="61">
        <f t="shared" si="5"/>
        <v>46539</v>
      </c>
      <c r="AW6" s="61">
        <f t="shared" si="5"/>
        <v>46569</v>
      </c>
      <c r="AX6" s="61">
        <f t="shared" si="5"/>
        <v>46600</v>
      </c>
      <c r="AY6" s="61">
        <f t="shared" si="5"/>
        <v>46631</v>
      </c>
      <c r="AZ6" s="61">
        <f t="shared" si="5"/>
        <v>46661</v>
      </c>
      <c r="BA6" s="61">
        <f t="shared" si="5"/>
        <v>46692</v>
      </c>
      <c r="BB6" s="61">
        <f t="shared" si="5"/>
        <v>46722</v>
      </c>
      <c r="BC6" s="61">
        <f t="shared" si="5"/>
        <v>46753</v>
      </c>
      <c r="BD6" s="61">
        <f t="shared" si="5"/>
        <v>46784</v>
      </c>
      <c r="BE6" s="61">
        <f t="shared" si="5"/>
        <v>46813</v>
      </c>
      <c r="BF6" s="61">
        <f t="shared" si="5"/>
        <v>46844</v>
      </c>
      <c r="BG6" s="61">
        <f t="shared" si="5"/>
        <v>46874</v>
      </c>
      <c r="BH6" s="61">
        <f t="shared" si="5"/>
        <v>46905</v>
      </c>
      <c r="BI6" s="61">
        <f t="shared" si="5"/>
        <v>46935</v>
      </c>
      <c r="BJ6" s="61">
        <f t="shared" si="5"/>
        <v>46966</v>
      </c>
      <c r="BK6" s="61">
        <f t="shared" si="5"/>
        <v>46997</v>
      </c>
      <c r="BL6" s="61">
        <f t="shared" si="5"/>
        <v>47027</v>
      </c>
      <c r="BM6" s="61">
        <f t="shared" si="5"/>
        <v>47058</v>
      </c>
      <c r="BN6" s="61">
        <f t="shared" si="5"/>
        <v>47088</v>
      </c>
    </row>
    <row r="7" spans="1:67" x14ac:dyDescent="0.3">
      <c r="C7" s="57"/>
      <c r="D7" s="57"/>
      <c r="E7" s="162" t="s">
        <v>15</v>
      </c>
      <c r="F7" s="57"/>
      <c r="G7" s="58">
        <v>1</v>
      </c>
      <c r="H7" s="58">
        <f>G7+1</f>
        <v>2</v>
      </c>
      <c r="I7" s="58">
        <f t="shared" ref="I7:AD7" si="6">H7+1</f>
        <v>3</v>
      </c>
      <c r="J7" s="58">
        <f t="shared" si="6"/>
        <v>4</v>
      </c>
      <c r="K7" s="58">
        <f t="shared" si="6"/>
        <v>5</v>
      </c>
      <c r="L7" s="58">
        <f t="shared" si="6"/>
        <v>6</v>
      </c>
      <c r="M7" s="58">
        <f t="shared" si="6"/>
        <v>7</v>
      </c>
      <c r="N7" s="58">
        <f t="shared" si="6"/>
        <v>8</v>
      </c>
      <c r="O7" s="58">
        <f t="shared" si="6"/>
        <v>9</v>
      </c>
      <c r="P7" s="58">
        <f t="shared" si="6"/>
        <v>10</v>
      </c>
      <c r="Q7" s="58">
        <f t="shared" si="6"/>
        <v>11</v>
      </c>
      <c r="R7" s="58">
        <f t="shared" si="6"/>
        <v>12</v>
      </c>
      <c r="S7" s="58">
        <f t="shared" si="6"/>
        <v>13</v>
      </c>
      <c r="T7" s="58">
        <f t="shared" si="6"/>
        <v>14</v>
      </c>
      <c r="U7" s="58">
        <f t="shared" si="6"/>
        <v>15</v>
      </c>
      <c r="V7" s="58">
        <f t="shared" si="6"/>
        <v>16</v>
      </c>
      <c r="W7" s="58">
        <f t="shared" si="6"/>
        <v>17</v>
      </c>
      <c r="X7" s="58">
        <f t="shared" si="6"/>
        <v>18</v>
      </c>
      <c r="Y7" s="58">
        <f t="shared" si="6"/>
        <v>19</v>
      </c>
      <c r="Z7" s="58">
        <f t="shared" si="6"/>
        <v>20</v>
      </c>
      <c r="AA7" s="58">
        <f t="shared" si="6"/>
        <v>21</v>
      </c>
      <c r="AB7" s="58">
        <f t="shared" si="6"/>
        <v>22</v>
      </c>
      <c r="AC7" s="58">
        <f t="shared" si="6"/>
        <v>23</v>
      </c>
      <c r="AD7" s="58">
        <f t="shared" si="6"/>
        <v>24</v>
      </c>
      <c r="AE7" s="58">
        <f t="shared" ref="AE7" si="7">AD7+1</f>
        <v>25</v>
      </c>
      <c r="AF7" s="58">
        <f t="shared" ref="AF7" si="8">AE7+1</f>
        <v>26</v>
      </c>
      <c r="AG7" s="58">
        <f t="shared" ref="AG7" si="9">AF7+1</f>
        <v>27</v>
      </c>
      <c r="AH7" s="58">
        <f t="shared" ref="AH7" si="10">AG7+1</f>
        <v>28</v>
      </c>
      <c r="AI7" s="58">
        <f t="shared" ref="AI7" si="11">AH7+1</f>
        <v>29</v>
      </c>
      <c r="AJ7" s="58">
        <f t="shared" ref="AJ7" si="12">AI7+1</f>
        <v>30</v>
      </c>
      <c r="AK7" s="58">
        <f t="shared" ref="AK7" si="13">AJ7+1</f>
        <v>31</v>
      </c>
      <c r="AL7" s="58">
        <f t="shared" ref="AL7" si="14">AK7+1</f>
        <v>32</v>
      </c>
      <c r="AM7" s="58">
        <f t="shared" ref="AM7" si="15">AL7+1</f>
        <v>33</v>
      </c>
      <c r="AN7" s="58">
        <f t="shared" ref="AN7" si="16">AM7+1</f>
        <v>34</v>
      </c>
      <c r="AO7" s="58">
        <f t="shared" ref="AO7" si="17">AN7+1</f>
        <v>35</v>
      </c>
      <c r="AP7" s="58">
        <f t="shared" ref="AP7" si="18">AO7+1</f>
        <v>36</v>
      </c>
      <c r="AQ7" s="58">
        <f t="shared" ref="AQ7" si="19">AP7+1</f>
        <v>37</v>
      </c>
      <c r="AR7" s="58">
        <f t="shared" ref="AR7" si="20">AQ7+1</f>
        <v>38</v>
      </c>
      <c r="AS7" s="58">
        <f t="shared" ref="AS7" si="21">AR7+1</f>
        <v>39</v>
      </c>
      <c r="AT7" s="58">
        <f t="shared" ref="AT7" si="22">AS7+1</f>
        <v>40</v>
      </c>
      <c r="AU7" s="58">
        <f t="shared" ref="AU7" si="23">AT7+1</f>
        <v>41</v>
      </c>
      <c r="AV7" s="58">
        <f t="shared" ref="AV7" si="24">AU7+1</f>
        <v>42</v>
      </c>
      <c r="AW7" s="58">
        <f t="shared" ref="AW7" si="25">AV7+1</f>
        <v>43</v>
      </c>
      <c r="AX7" s="58">
        <f t="shared" ref="AX7" si="26">AW7+1</f>
        <v>44</v>
      </c>
      <c r="AY7" s="58">
        <f t="shared" ref="AY7" si="27">AX7+1</f>
        <v>45</v>
      </c>
      <c r="AZ7" s="58">
        <f t="shared" ref="AZ7" si="28">AY7+1</f>
        <v>46</v>
      </c>
      <c r="BA7" s="58">
        <f t="shared" ref="BA7" si="29">AZ7+1</f>
        <v>47</v>
      </c>
      <c r="BB7" s="58">
        <f t="shared" ref="BB7" si="30">BA7+1</f>
        <v>48</v>
      </c>
      <c r="BC7" s="58">
        <f t="shared" ref="BC7" si="31">BB7+1</f>
        <v>49</v>
      </c>
      <c r="BD7" s="58">
        <f t="shared" ref="BD7" si="32">BC7+1</f>
        <v>50</v>
      </c>
      <c r="BE7" s="58">
        <f t="shared" ref="BE7" si="33">BD7+1</f>
        <v>51</v>
      </c>
      <c r="BF7" s="58">
        <f t="shared" ref="BF7" si="34">BE7+1</f>
        <v>52</v>
      </c>
      <c r="BG7" s="58">
        <f t="shared" ref="BG7" si="35">BF7+1</f>
        <v>53</v>
      </c>
      <c r="BH7" s="58">
        <f t="shared" ref="BH7" si="36">BG7+1</f>
        <v>54</v>
      </c>
      <c r="BI7" s="58">
        <f t="shared" ref="BI7" si="37">BH7+1</f>
        <v>55</v>
      </c>
      <c r="BJ7" s="58">
        <f t="shared" ref="BJ7" si="38">BI7+1</f>
        <v>56</v>
      </c>
      <c r="BK7" s="58">
        <f t="shared" ref="BK7" si="39">BJ7+1</f>
        <v>57</v>
      </c>
      <c r="BL7" s="58">
        <f t="shared" ref="BL7" si="40">BK7+1</f>
        <v>58</v>
      </c>
      <c r="BM7" s="58">
        <f t="shared" ref="BM7:BN7" si="41">BL7+1</f>
        <v>59</v>
      </c>
      <c r="BN7" s="58">
        <f t="shared" si="41"/>
        <v>60</v>
      </c>
      <c r="BO7" t="s">
        <v>0</v>
      </c>
    </row>
    <row r="8" spans="1:67" ht="3" customHeight="1" x14ac:dyDescent="0.3">
      <c r="C8" s="25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</row>
    <row r="9" spans="1:67" ht="14.7" customHeight="1" x14ac:dyDescent="0.3">
      <c r="A9" s="22" t="s">
        <v>0</v>
      </c>
      <c r="B9" s="22" t="s">
        <v>0</v>
      </c>
      <c r="C9" s="4" t="s">
        <v>168</v>
      </c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BO9" t="s">
        <v>0</v>
      </c>
    </row>
    <row r="10" spans="1:67" ht="3" customHeight="1" x14ac:dyDescent="0.3">
      <c r="C10" s="25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BO10" t="s">
        <v>0</v>
      </c>
    </row>
    <row r="11" spans="1:67" ht="14.7" customHeight="1" x14ac:dyDescent="0.3">
      <c r="C11" t="s">
        <v>152</v>
      </c>
      <c r="G11" s="50">
        <f>'Subscribers &amp; Revenue'!G68</f>
        <v>2700</v>
      </c>
      <c r="H11" s="50">
        <f>'Subscribers &amp; Revenue'!H68</f>
        <v>5250</v>
      </c>
      <c r="I11" s="50">
        <f>'Subscribers &amp; Revenue'!I68</f>
        <v>7740</v>
      </c>
      <c r="J11" s="50">
        <f>'Subscribers &amp; Revenue'!J68</f>
        <v>10170</v>
      </c>
      <c r="K11" s="50">
        <f>'Subscribers &amp; Revenue'!K68</f>
        <v>12600</v>
      </c>
      <c r="L11" s="50">
        <f>'Subscribers &amp; Revenue'!L68</f>
        <v>15060</v>
      </c>
      <c r="M11" s="50">
        <f>'Subscribers &amp; Revenue'!M68</f>
        <v>17610</v>
      </c>
      <c r="N11" s="50">
        <f>'Subscribers &amp; Revenue'!N68</f>
        <v>20250</v>
      </c>
      <c r="O11" s="50">
        <f>'Subscribers &amp; Revenue'!O68</f>
        <v>23040</v>
      </c>
      <c r="P11" s="50">
        <f>'Subscribers &amp; Revenue'!P68</f>
        <v>25980</v>
      </c>
      <c r="Q11" s="50">
        <f>'Subscribers &amp; Revenue'!Q68</f>
        <v>29100</v>
      </c>
      <c r="R11" s="50">
        <f>'Subscribers &amp; Revenue'!R68</f>
        <v>32430</v>
      </c>
      <c r="S11" s="50">
        <f>'Subscribers &amp; Revenue'!S68</f>
        <v>36060</v>
      </c>
      <c r="T11" s="50">
        <f>'Subscribers &amp; Revenue'!T68</f>
        <v>39990</v>
      </c>
      <c r="U11" s="50">
        <f>'Subscribers &amp; Revenue'!U68</f>
        <v>44250</v>
      </c>
      <c r="V11" s="50">
        <f>'Subscribers &amp; Revenue'!V68</f>
        <v>48900</v>
      </c>
      <c r="W11" s="50">
        <f>'Subscribers &amp; Revenue'!W68</f>
        <v>53970</v>
      </c>
      <c r="X11" s="50">
        <f>'Subscribers &amp; Revenue'!X68</f>
        <v>59520</v>
      </c>
      <c r="Y11" s="50">
        <f>'Subscribers &amp; Revenue'!Y68</f>
        <v>65610</v>
      </c>
      <c r="Z11" s="50">
        <f>'Subscribers &amp; Revenue'!Z68</f>
        <v>72300</v>
      </c>
      <c r="AA11" s="50">
        <f>'Subscribers &amp; Revenue'!AA68</f>
        <v>79620</v>
      </c>
      <c r="AB11" s="50">
        <f>'Subscribers &amp; Revenue'!AB68</f>
        <v>87690</v>
      </c>
      <c r="AC11" s="50">
        <f>'Subscribers &amp; Revenue'!AC68</f>
        <v>96570</v>
      </c>
      <c r="AD11" s="50">
        <f>'Subscribers &amp; Revenue'!AD68</f>
        <v>106290</v>
      </c>
      <c r="AE11" s="50">
        <f>'Subscribers &amp; Revenue'!AE68</f>
        <v>117000</v>
      </c>
      <c r="AF11" s="50">
        <f>'Subscribers &amp; Revenue'!AF68</f>
        <v>128760</v>
      </c>
      <c r="AG11" s="50">
        <f>'Subscribers &amp; Revenue'!AG68</f>
        <v>141690</v>
      </c>
      <c r="AH11" s="50">
        <f>'Subscribers &amp; Revenue'!AH68</f>
        <v>155940</v>
      </c>
      <c r="AI11" s="50">
        <f>'Subscribers &amp; Revenue'!AI68</f>
        <v>171570</v>
      </c>
      <c r="AJ11" s="50">
        <f>'Subscribers &amp; Revenue'!AJ68</f>
        <v>188760</v>
      </c>
      <c r="AK11" s="50">
        <f>'Subscribers &amp; Revenue'!AK68</f>
        <v>207660</v>
      </c>
      <c r="AL11" s="50">
        <f>'Subscribers &amp; Revenue'!AL68</f>
        <v>228450</v>
      </c>
      <c r="AM11" s="50">
        <f>'Subscribers &amp; Revenue'!AM68</f>
        <v>251310</v>
      </c>
      <c r="AN11" s="50">
        <f>'Subscribers &amp; Revenue'!AN68</f>
        <v>276420</v>
      </c>
      <c r="AO11" s="50">
        <f>'Subscribers &amp; Revenue'!AO68</f>
        <v>304050</v>
      </c>
      <c r="AP11" s="50">
        <f>'Subscribers &amp; Revenue'!AP68</f>
        <v>334440</v>
      </c>
      <c r="AQ11" s="50">
        <f>'Subscribers &amp; Revenue'!AQ68</f>
        <v>367860</v>
      </c>
      <c r="AR11" s="50">
        <f>'Subscribers &amp; Revenue'!AR68</f>
        <v>404640</v>
      </c>
      <c r="AS11" s="50">
        <f>'Subscribers &amp; Revenue'!AS68</f>
        <v>445110</v>
      </c>
      <c r="AT11" s="50">
        <f>'Subscribers &amp; Revenue'!AT68</f>
        <v>489600</v>
      </c>
      <c r="AU11" s="50">
        <f>'Subscribers &amp; Revenue'!AU68</f>
        <v>538560</v>
      </c>
      <c r="AV11" s="50">
        <f>'Subscribers &amp; Revenue'!AV68</f>
        <v>592410</v>
      </c>
      <c r="AW11" s="50">
        <f>'Subscribers &amp; Revenue'!AW68</f>
        <v>651660</v>
      </c>
      <c r="AX11" s="50">
        <f>'Subscribers &amp; Revenue'!AX68</f>
        <v>716850</v>
      </c>
      <c r="AY11" s="50">
        <f>'Subscribers &amp; Revenue'!AY68</f>
        <v>788550</v>
      </c>
      <c r="AZ11" s="50">
        <f>'Subscribers &amp; Revenue'!AZ68</f>
        <v>867390</v>
      </c>
      <c r="BA11" s="50">
        <f>'Subscribers &amp; Revenue'!BA68</f>
        <v>954120</v>
      </c>
      <c r="BB11" s="50">
        <f>'Subscribers &amp; Revenue'!BB68</f>
        <v>1049520</v>
      </c>
      <c r="BC11" s="50">
        <f>'Subscribers &amp; Revenue'!BC68</f>
        <v>1154460</v>
      </c>
      <c r="BD11" s="50">
        <f>'Subscribers &amp; Revenue'!BD68</f>
        <v>1269930</v>
      </c>
      <c r="BE11" s="50">
        <f>'Subscribers &amp; Revenue'!BE68</f>
        <v>1396920</v>
      </c>
      <c r="BF11" s="50">
        <f>'Subscribers &amp; Revenue'!BF68</f>
        <v>1536600</v>
      </c>
      <c r="BG11" s="50">
        <f>'Subscribers &amp; Revenue'!BG68</f>
        <v>1690260</v>
      </c>
      <c r="BH11" s="50">
        <f>'Subscribers &amp; Revenue'!BH68</f>
        <v>1859310</v>
      </c>
      <c r="BI11" s="50">
        <f>'Subscribers &amp; Revenue'!BI68</f>
        <v>2045250</v>
      </c>
      <c r="BJ11" s="50">
        <f>'Subscribers &amp; Revenue'!BJ68</f>
        <v>2249820</v>
      </c>
      <c r="BK11" s="50">
        <f>'Subscribers &amp; Revenue'!BK68</f>
        <v>2474850</v>
      </c>
      <c r="BL11" s="50">
        <f>'Subscribers &amp; Revenue'!BL68</f>
        <v>2722380</v>
      </c>
      <c r="BM11" s="50">
        <f>'Subscribers &amp; Revenue'!BM68</f>
        <v>2994660</v>
      </c>
      <c r="BN11" s="50">
        <f>'Subscribers &amp; Revenue'!BN68</f>
        <v>3294180</v>
      </c>
      <c r="BO11" t="s">
        <v>0</v>
      </c>
    </row>
    <row r="12" spans="1:67" ht="14.55" customHeight="1" x14ac:dyDescent="0.3">
      <c r="C12" s="25" t="s">
        <v>19</v>
      </c>
      <c r="H12" s="52">
        <f>H11/G11-1</f>
        <v>0.94444444444444442</v>
      </c>
      <c r="I12" s="52">
        <f t="shared" ref="I12:AD12" si="42">I11/H11-1</f>
        <v>0.4742857142857142</v>
      </c>
      <c r="J12" s="52">
        <f t="shared" si="42"/>
        <v>0.31395348837209291</v>
      </c>
      <c r="K12" s="52">
        <f t="shared" si="42"/>
        <v>0.23893805309734506</v>
      </c>
      <c r="L12" s="52">
        <f t="shared" si="42"/>
        <v>0.19523809523809521</v>
      </c>
      <c r="M12" s="52">
        <f t="shared" si="42"/>
        <v>0.16932270916334669</v>
      </c>
      <c r="N12" s="52">
        <f t="shared" si="42"/>
        <v>0.14991482112436105</v>
      </c>
      <c r="O12" s="52">
        <f t="shared" si="42"/>
        <v>0.13777777777777778</v>
      </c>
      <c r="P12" s="52">
        <f t="shared" si="42"/>
        <v>0.12760416666666674</v>
      </c>
      <c r="Q12" s="52">
        <f t="shared" si="42"/>
        <v>0.12009237875288692</v>
      </c>
      <c r="R12" s="52">
        <f t="shared" si="42"/>
        <v>0.11443298969072169</v>
      </c>
      <c r="S12" s="52">
        <f t="shared" si="42"/>
        <v>0.11193339500462529</v>
      </c>
      <c r="T12" s="52">
        <f t="shared" si="42"/>
        <v>0.10898502495840257</v>
      </c>
      <c r="U12" s="52">
        <f t="shared" si="42"/>
        <v>0.10652663165791454</v>
      </c>
      <c r="V12" s="52">
        <f t="shared" si="42"/>
        <v>0.10508474576271176</v>
      </c>
      <c r="W12" s="52">
        <f t="shared" si="42"/>
        <v>0.10368098159509209</v>
      </c>
      <c r="X12" s="52">
        <f t="shared" si="42"/>
        <v>0.10283490828237918</v>
      </c>
      <c r="Y12" s="52">
        <f t="shared" si="42"/>
        <v>0.10231854838709675</v>
      </c>
      <c r="Z12" s="52">
        <f t="shared" si="42"/>
        <v>0.1019661636945588</v>
      </c>
      <c r="AA12" s="52">
        <f t="shared" si="42"/>
        <v>0.10124481327800838</v>
      </c>
      <c r="AB12" s="52">
        <f t="shared" si="42"/>
        <v>0.10135644310474756</v>
      </c>
      <c r="AC12" s="52">
        <f t="shared" si="42"/>
        <v>0.10126582278481022</v>
      </c>
      <c r="AD12" s="52">
        <f t="shared" si="42"/>
        <v>0.10065237651444559</v>
      </c>
      <c r="AE12" s="52">
        <f t="shared" ref="AE12" si="43">AE11/AD11-1</f>
        <v>0.10076206604572402</v>
      </c>
      <c r="AF12" s="52">
        <f t="shared" ref="AF12" si="44">AF11/AE11-1</f>
        <v>0.10051282051282051</v>
      </c>
      <c r="AG12" s="52">
        <f t="shared" ref="AG12" si="45">AG11/AF11-1</f>
        <v>0.10041938490214353</v>
      </c>
      <c r="AH12" s="52">
        <f t="shared" ref="AH12" si="46">AH11/AG11-1</f>
        <v>0.10057167054838034</v>
      </c>
      <c r="AI12" s="52">
        <f t="shared" ref="AI12" si="47">AI11/AH11-1</f>
        <v>0.10023085802231635</v>
      </c>
      <c r="AJ12" s="52">
        <f t="shared" ref="AJ12" si="48">AJ11/AI11-1</f>
        <v>0.10019234131841226</v>
      </c>
      <c r="AK12" s="52">
        <f t="shared" ref="AK12" si="49">AK11/AJ11-1</f>
        <v>0.100127145581691</v>
      </c>
      <c r="AL12" s="52">
        <f t="shared" ref="AL12" si="50">AL11/AK11-1</f>
        <v>0.10011557353366074</v>
      </c>
      <c r="AM12" s="52">
        <f t="shared" ref="AM12" si="51">AM11/AL11-1</f>
        <v>0.10006565988181215</v>
      </c>
      <c r="AN12" s="52">
        <f t="shared" ref="AN12" si="52">AN11/AM11-1</f>
        <v>9.9916437865584351E-2</v>
      </c>
      <c r="AO12" s="52">
        <f t="shared" ref="AO12" si="53">AO11/AN11-1</f>
        <v>9.9956587801172114E-2</v>
      </c>
      <c r="AP12" s="52">
        <f t="shared" ref="AP12" si="54">AP11/AO11-1</f>
        <v>9.9950666008880029E-2</v>
      </c>
      <c r="AQ12" s="52">
        <f t="shared" ref="AQ12" si="55">AQ11/AP11-1</f>
        <v>9.9928238249013202E-2</v>
      </c>
      <c r="AR12" s="52">
        <f t="shared" ref="AR12" si="56">AR11/AQ11-1</f>
        <v>9.9983689447072255E-2</v>
      </c>
      <c r="AS12" s="52">
        <f t="shared" ref="AS12" si="57">AS11/AR11-1</f>
        <v>0.10001482799525507</v>
      </c>
      <c r="AT12" s="52">
        <f t="shared" ref="AT12" si="58">AT11/AS11-1</f>
        <v>9.9952820651074914E-2</v>
      </c>
      <c r="AU12" s="52">
        <f t="shared" ref="AU12" si="59">AU11/AT11-1</f>
        <v>0.10000000000000009</v>
      </c>
      <c r="AV12" s="52">
        <f t="shared" ref="AV12" si="60">AV11/AU11-1</f>
        <v>9.998885918003575E-2</v>
      </c>
      <c r="AW12" s="52">
        <f t="shared" ref="AW12" si="61">AW11/AV11-1</f>
        <v>0.10001519218109078</v>
      </c>
      <c r="AX12" s="52">
        <f t="shared" ref="AX12" si="62">AX11/AW11-1</f>
        <v>0.10003682902126876</v>
      </c>
      <c r="AY12" s="52">
        <f t="shared" ref="AY12" si="63">AY11/AX11-1</f>
        <v>0.10002092487968195</v>
      </c>
      <c r="AZ12" s="52">
        <f t="shared" ref="AZ12" si="64">AZ11/AY11-1</f>
        <v>9.998097774396042E-2</v>
      </c>
      <c r="BA12" s="52">
        <f t="shared" ref="BA12" si="65">BA11/AZ11-1</f>
        <v>9.9989624044547476E-2</v>
      </c>
      <c r="BB12" s="52">
        <f t="shared" ref="BB12" si="66">BB11/BA11-1</f>
        <v>9.9987422965664763E-2</v>
      </c>
      <c r="BC12" s="52">
        <f t="shared" ref="BC12" si="67">BC11/BB11-1</f>
        <v>9.9988566201692164E-2</v>
      </c>
      <c r="BD12" s="52">
        <f t="shared" ref="BD12" si="68">BD11/BC11-1</f>
        <v>0.10002078894028377</v>
      </c>
      <c r="BE12" s="52">
        <f t="shared" ref="BE12" si="69">BE11/BD11-1</f>
        <v>9.9997637665068195E-2</v>
      </c>
      <c r="BF12" s="52">
        <f t="shared" ref="BF12" si="70">BF11/BE11-1</f>
        <v>9.9991409672708587E-2</v>
      </c>
      <c r="BG12" s="52">
        <f t="shared" ref="BG12" si="71">BG11/BF11-1</f>
        <v>0.10000000000000009</v>
      </c>
      <c r="BH12" s="52">
        <f t="shared" ref="BH12" si="72">BH11/BG11-1</f>
        <v>0.10001419899897068</v>
      </c>
      <c r="BI12" s="52">
        <f t="shared" ref="BI12" si="73">BI11/BH11-1</f>
        <v>0.10000484050534886</v>
      </c>
      <c r="BJ12" s="52">
        <f t="shared" ref="BJ12" si="74">BJ11/BI11-1</f>
        <v>0.10002200220022006</v>
      </c>
      <c r="BK12" s="52">
        <f t="shared" ref="BK12" si="75">BK11/BJ11-1</f>
        <v>0.10002133504013644</v>
      </c>
      <c r="BL12" s="52">
        <f t="shared" ref="BL12" si="76">BL11/BK11-1</f>
        <v>0.10001818292017695</v>
      </c>
      <c r="BM12" s="52">
        <f t="shared" ref="BM12" si="77">BM11/BL11-1</f>
        <v>0.10001542767725291</v>
      </c>
      <c r="BN12" s="52">
        <f t="shared" ref="BN12" si="78">BN11/BM11-1</f>
        <v>0.10001803209713289</v>
      </c>
      <c r="BO12" t="s">
        <v>0</v>
      </c>
    </row>
    <row r="13" spans="1:67" ht="3" customHeight="1" x14ac:dyDescent="0.3"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t="s">
        <v>0</v>
      </c>
    </row>
    <row r="14" spans="1:67" ht="14.55" customHeight="1" x14ac:dyDescent="0.3">
      <c r="C14" t="s">
        <v>43</v>
      </c>
      <c r="G14" s="50">
        <f>'Subscribers &amp; Revenue'!G69</f>
        <v>1512.5</v>
      </c>
      <c r="H14" s="50">
        <f>'Subscribers &amp; Revenue'!H69</f>
        <v>3135</v>
      </c>
      <c r="I14" s="50">
        <f>'Subscribers &amp; Revenue'!I69</f>
        <v>4867.5</v>
      </c>
      <c r="J14" s="50">
        <f>'Subscribers &amp; Revenue'!J69</f>
        <v>6710</v>
      </c>
      <c r="K14" s="50">
        <f>'Subscribers &amp; Revenue'!K69</f>
        <v>8690</v>
      </c>
      <c r="L14" s="50">
        <f>'Subscribers &amp; Revenue'!L69</f>
        <v>10807.5</v>
      </c>
      <c r="M14" s="50">
        <f>'Subscribers &amp; Revenue'!M69</f>
        <v>13062.5</v>
      </c>
      <c r="N14" s="50">
        <f>'Subscribers &amp; Revenue'!N69</f>
        <v>15482.5</v>
      </c>
      <c r="O14" s="50">
        <f>'Subscribers &amp; Revenue'!O69</f>
        <v>18067.5</v>
      </c>
      <c r="P14" s="50">
        <f>'Subscribers &amp; Revenue'!P69</f>
        <v>20845</v>
      </c>
      <c r="Q14" s="50">
        <f>'Subscribers &amp; Revenue'!Q69</f>
        <v>23815</v>
      </c>
      <c r="R14" s="50">
        <f>'Subscribers &amp; Revenue'!R69</f>
        <v>27005</v>
      </c>
      <c r="S14" s="50">
        <f>'Subscribers &amp; Revenue'!S69</f>
        <v>29892.5</v>
      </c>
      <c r="T14" s="50">
        <f>'Subscribers &amp; Revenue'!T69</f>
        <v>32972.5</v>
      </c>
      <c r="U14" s="50">
        <f>'Subscribers &amp; Revenue'!U69</f>
        <v>36272.5</v>
      </c>
      <c r="V14" s="50">
        <f>'Subscribers &amp; Revenue'!V69</f>
        <v>39820</v>
      </c>
      <c r="W14" s="50">
        <f>'Subscribers &amp; Revenue'!W69</f>
        <v>43615</v>
      </c>
      <c r="X14" s="50">
        <f>'Subscribers &amp; Revenue'!X69</f>
        <v>47657.5</v>
      </c>
      <c r="Y14" s="50">
        <f>'Subscribers &amp; Revenue'!Y69</f>
        <v>51975</v>
      </c>
      <c r="Z14" s="50">
        <f>'Subscribers &amp; Revenue'!Z69</f>
        <v>56595</v>
      </c>
      <c r="AA14" s="50">
        <f>'Subscribers &amp; Revenue'!AA69</f>
        <v>61545</v>
      </c>
      <c r="AB14" s="50">
        <f>'Subscribers &amp; Revenue'!AB69</f>
        <v>66852.5</v>
      </c>
      <c r="AC14" s="50">
        <f>'Subscribers &amp; Revenue'!AC69</f>
        <v>72517.5</v>
      </c>
      <c r="AD14" s="50">
        <f>'Subscribers &amp; Revenue'!AD69</f>
        <v>78567.5</v>
      </c>
      <c r="AE14" s="50">
        <f>'Subscribers &amp; Revenue'!AE69</f>
        <v>84067.5</v>
      </c>
      <c r="AF14" s="50">
        <f>'Subscribers &amp; Revenue'!AF69</f>
        <v>89952.5</v>
      </c>
      <c r="AG14" s="50">
        <f>'Subscribers &amp; Revenue'!AG69</f>
        <v>96250</v>
      </c>
      <c r="AH14" s="50">
        <f>'Subscribers &amp; Revenue'!AH69</f>
        <v>102987.5</v>
      </c>
      <c r="AI14" s="50">
        <f>'Subscribers &amp; Revenue'!AI69</f>
        <v>110192.5</v>
      </c>
      <c r="AJ14" s="50">
        <f>'Subscribers &amp; Revenue'!AJ69</f>
        <v>117920</v>
      </c>
      <c r="AK14" s="50">
        <f>'Subscribers &amp; Revenue'!AK69</f>
        <v>126197.5</v>
      </c>
      <c r="AL14" s="50">
        <f>'Subscribers &amp; Revenue'!AL69</f>
        <v>135025</v>
      </c>
      <c r="AM14" s="50">
        <f>'Subscribers &amp; Revenue'!AM69</f>
        <v>144457.5</v>
      </c>
      <c r="AN14" s="50">
        <f>'Subscribers &amp; Revenue'!AN69</f>
        <v>154550</v>
      </c>
      <c r="AO14" s="50">
        <f>'Subscribers &amp; Revenue'!AO69</f>
        <v>165385</v>
      </c>
      <c r="AP14" s="50">
        <f>'Subscribers &amp; Revenue'!AP69</f>
        <v>176962.5</v>
      </c>
      <c r="AQ14" s="50">
        <f>'Subscribers &amp; Revenue'!AQ69</f>
        <v>189310</v>
      </c>
      <c r="AR14" s="50">
        <f>'Subscribers &amp; Revenue'!AR69</f>
        <v>202537.5</v>
      </c>
      <c r="AS14" s="50">
        <f>'Subscribers &amp; Revenue'!AS69</f>
        <v>216700</v>
      </c>
      <c r="AT14" s="50">
        <f>'Subscribers &amp; Revenue'!AT69</f>
        <v>231825</v>
      </c>
      <c r="AU14" s="50">
        <f>'Subscribers &amp; Revenue'!AU69</f>
        <v>248022.5</v>
      </c>
      <c r="AV14" s="50">
        <f>'Subscribers &amp; Revenue'!AV69</f>
        <v>265375</v>
      </c>
      <c r="AW14" s="50">
        <f>'Subscribers &amp; Revenue'!AW69</f>
        <v>283937.5</v>
      </c>
      <c r="AX14" s="50">
        <f>'Subscribers &amp; Revenue'!AX69</f>
        <v>303820</v>
      </c>
      <c r="AY14" s="50">
        <f>'Subscribers &amp; Revenue'!AY69</f>
        <v>325105</v>
      </c>
      <c r="AZ14" s="50">
        <f>'Subscribers &amp; Revenue'!AZ69</f>
        <v>347875</v>
      </c>
      <c r="BA14" s="50">
        <f>'Subscribers &amp; Revenue'!BA69</f>
        <v>372240</v>
      </c>
      <c r="BB14" s="50">
        <f>'Subscribers &amp; Revenue'!BB69</f>
        <v>398337.5</v>
      </c>
      <c r="BC14" s="50">
        <f>'Subscribers &amp; Revenue'!BC69</f>
        <v>426277.5</v>
      </c>
      <c r="BD14" s="50">
        <f>'Subscribers &amp; Revenue'!BD69</f>
        <v>456170</v>
      </c>
      <c r="BE14" s="50">
        <f>'Subscribers &amp; Revenue'!BE69</f>
        <v>488125</v>
      </c>
      <c r="BF14" s="50">
        <f>'Subscribers &amp; Revenue'!BF69</f>
        <v>522362.5</v>
      </c>
      <c r="BG14" s="50">
        <f>'Subscribers &amp; Revenue'!BG69</f>
        <v>558992.5</v>
      </c>
      <c r="BH14" s="50">
        <f>'Subscribers &amp; Revenue'!BH69</f>
        <v>598180</v>
      </c>
      <c r="BI14" s="50">
        <f>'Subscribers &amp; Revenue'!BI69</f>
        <v>640117.5</v>
      </c>
      <c r="BJ14" s="50">
        <f>'Subscribers &amp; Revenue'!BJ69</f>
        <v>684997.5</v>
      </c>
      <c r="BK14" s="50">
        <f>'Subscribers &amp; Revenue'!BK69</f>
        <v>733012.5</v>
      </c>
      <c r="BL14" s="50">
        <f>'Subscribers &amp; Revenue'!BL69</f>
        <v>784355</v>
      </c>
      <c r="BM14" s="50">
        <f>'Subscribers &amp; Revenue'!BM69</f>
        <v>839272.5</v>
      </c>
      <c r="BN14" s="50">
        <f>'Subscribers &amp; Revenue'!BN69</f>
        <v>898040</v>
      </c>
      <c r="BO14" t="s">
        <v>0</v>
      </c>
    </row>
    <row r="15" spans="1:67" ht="14.55" customHeight="1" x14ac:dyDescent="0.3">
      <c r="C15" s="25" t="s">
        <v>19</v>
      </c>
      <c r="H15" s="52">
        <f>H14/G14-1</f>
        <v>1.0727272727272728</v>
      </c>
      <c r="I15" s="52">
        <f t="shared" ref="I15" si="79">I14/H14-1</f>
        <v>0.55263157894736836</v>
      </c>
      <c r="J15" s="52">
        <f t="shared" ref="J15" si="80">J14/I14-1</f>
        <v>0.37853107344632764</v>
      </c>
      <c r="K15" s="52">
        <f t="shared" ref="K15" si="81">K14/J14-1</f>
        <v>0.29508196721311486</v>
      </c>
      <c r="L15" s="52">
        <f t="shared" ref="L15" si="82">L14/K14-1</f>
        <v>0.24367088607594933</v>
      </c>
      <c r="M15" s="52">
        <f t="shared" ref="M15" si="83">M14/L14-1</f>
        <v>0.20865139949109412</v>
      </c>
      <c r="N15" s="52">
        <f t="shared" ref="N15" si="84">N14/M14-1</f>
        <v>0.1852631578947368</v>
      </c>
      <c r="O15" s="52">
        <f t="shared" ref="O15" si="85">O14/N14-1</f>
        <v>0.1669626998223801</v>
      </c>
      <c r="P15" s="52">
        <f t="shared" ref="P15" si="86">P14/O14-1</f>
        <v>0.15372907153729076</v>
      </c>
      <c r="Q15" s="52">
        <f t="shared" ref="Q15" si="87">Q14/P14-1</f>
        <v>0.14248021108179421</v>
      </c>
      <c r="R15" s="52">
        <f t="shared" ref="R15" si="88">R14/Q14-1</f>
        <v>0.13394919168591235</v>
      </c>
      <c r="S15" s="52">
        <f t="shared" ref="S15" si="89">S14/R14-1</f>
        <v>0.10692464358452147</v>
      </c>
      <c r="T15" s="52">
        <f t="shared" ref="T15" si="90">T14/S14-1</f>
        <v>0.1030358785648573</v>
      </c>
      <c r="U15" s="52">
        <f t="shared" ref="U15" si="91">U14/T14-1</f>
        <v>0.1000834028356965</v>
      </c>
      <c r="V15" s="52">
        <f t="shared" ref="V15" si="92">V14/U14-1</f>
        <v>9.7801364670204727E-2</v>
      </c>
      <c r="W15" s="52">
        <f t="shared" ref="W15" si="93">W14/V14-1</f>
        <v>9.5303867403314868E-2</v>
      </c>
      <c r="X15" s="52">
        <f t="shared" ref="X15" si="94">X14/W14-1</f>
        <v>9.2686002522068156E-2</v>
      </c>
      <c r="Y15" s="52">
        <f t="shared" ref="Y15" si="95">Y14/X14-1</f>
        <v>9.0594345066358883E-2</v>
      </c>
      <c r="Z15" s="52">
        <f t="shared" ref="Z15" si="96">Z14/Y14-1</f>
        <v>8.8888888888888795E-2</v>
      </c>
      <c r="AA15" s="52">
        <f t="shared" ref="AA15" si="97">AA14/Z14-1</f>
        <v>8.7463556851312019E-2</v>
      </c>
      <c r="AB15" s="52">
        <f t="shared" ref="AB15" si="98">AB14/AA14-1</f>
        <v>8.6237712243074194E-2</v>
      </c>
      <c r="AC15" s="52">
        <f t="shared" ref="AC15" si="99">AC14/AB14-1</f>
        <v>8.4738790621143645E-2</v>
      </c>
      <c r="AD15" s="52">
        <f t="shared" ref="AD15" si="100">AD14/AC14-1</f>
        <v>8.3428138035646526E-2</v>
      </c>
      <c r="AE15" s="52">
        <f t="shared" ref="AE15" si="101">AE14/AD14-1</f>
        <v>7.0003500175008782E-2</v>
      </c>
      <c r="AF15" s="52">
        <f t="shared" ref="AF15" si="102">AF14/AE14-1</f>
        <v>7.000327118089622E-2</v>
      </c>
      <c r="AG15" s="52">
        <f t="shared" ref="AG15" si="103">AG14/AF14-1</f>
        <v>7.0009171507184442E-2</v>
      </c>
      <c r="AH15" s="52">
        <f t="shared" ref="AH15" si="104">AH14/AG14-1</f>
        <v>7.0000000000000062E-2</v>
      </c>
      <c r="AI15" s="52">
        <f t="shared" ref="AI15" si="105">AI14/AH14-1</f>
        <v>6.9959946595460565E-2</v>
      </c>
      <c r="AJ15" s="52">
        <f t="shared" ref="AJ15" si="106">AJ14/AI14-1</f>
        <v>7.0127277264786514E-2</v>
      </c>
      <c r="AK15" s="52">
        <f t="shared" ref="AK15" si="107">AK14/AJ14-1</f>
        <v>7.019589552238803E-2</v>
      </c>
      <c r="AL15" s="52">
        <f t="shared" ref="AL15" si="108">AL14/AK14-1</f>
        <v>6.9949880148180377E-2</v>
      </c>
      <c r="AM15" s="52">
        <f t="shared" ref="AM15" si="109">AM14/AL14-1</f>
        <v>6.9857433808554026E-2</v>
      </c>
      <c r="AN15" s="52">
        <f t="shared" ref="AN15" si="110">AN14/AM14-1</f>
        <v>6.9864839139539336E-2</v>
      </c>
      <c r="AO15" s="52">
        <f t="shared" ref="AO15" si="111">AO14/AN14-1</f>
        <v>7.0106761565836395E-2</v>
      </c>
      <c r="AP15" s="52">
        <f t="shared" ref="AP15" si="112">AP14/AO14-1</f>
        <v>7.0003325573661401E-2</v>
      </c>
      <c r="AQ15" s="52">
        <f t="shared" ref="AQ15" si="113">AQ14/AP14-1</f>
        <v>6.9774669774669729E-2</v>
      </c>
      <c r="AR15" s="52">
        <f t="shared" ref="AR15" si="114">AR14/AQ14-1</f>
        <v>6.9872167344567027E-2</v>
      </c>
      <c r="AS15" s="52">
        <f t="shared" ref="AS15" si="115">AS14/AR14-1</f>
        <v>6.9925322471147355E-2</v>
      </c>
      <c r="AT15" s="52">
        <f t="shared" ref="AT15" si="116">AT14/AS14-1</f>
        <v>6.9796954314720772E-2</v>
      </c>
      <c r="AU15" s="52">
        <f t="shared" ref="AU15" si="117">AU14/AT14-1</f>
        <v>6.9869513641755532E-2</v>
      </c>
      <c r="AV15" s="52">
        <f t="shared" ref="AV15" si="118">AV14/AU14-1</f>
        <v>6.9963410577669416E-2</v>
      </c>
      <c r="AW15" s="52">
        <f t="shared" ref="AW15" si="119">AW14/AV14-1</f>
        <v>6.9948186528497436E-2</v>
      </c>
      <c r="AX15" s="52">
        <f t="shared" ref="AX15" si="120">AX14/AW14-1</f>
        <v>7.0024213075060571E-2</v>
      </c>
      <c r="AY15" s="52">
        <f t="shared" ref="AY15" si="121">AY14/AX14-1</f>
        <v>7.0057929036929867E-2</v>
      </c>
      <c r="AZ15" s="52">
        <f t="shared" ref="AZ15" si="122">AZ14/AY14-1</f>
        <v>7.0038910505836549E-2</v>
      </c>
      <c r="BA15" s="52">
        <f t="shared" ref="BA15" si="123">BA14/AZ14-1</f>
        <v>7.0039525691699689E-2</v>
      </c>
      <c r="BB15" s="52">
        <f t="shared" ref="BB15" si="124">BB14/BA14-1</f>
        <v>7.0109338061465687E-2</v>
      </c>
      <c r="BC15" s="52">
        <f t="shared" ref="BC15" si="125">BC14/BB14-1</f>
        <v>7.0141525716258091E-2</v>
      </c>
      <c r="BD15" s="52">
        <f t="shared" ref="BD15" si="126">BD14/BC14-1</f>
        <v>7.0124508096251814E-2</v>
      </c>
      <c r="BE15" s="52">
        <f t="shared" ref="BE15" si="127">BE14/BD14-1</f>
        <v>7.0050639016156158E-2</v>
      </c>
      <c r="BF15" s="52">
        <f t="shared" ref="BF15" si="128">BF14/BE14-1</f>
        <v>7.0140845070422619E-2</v>
      </c>
      <c r="BG15" s="52">
        <f t="shared" ref="BG15" si="129">BG14/BF14-1</f>
        <v>7.0123716767570343E-2</v>
      </c>
      <c r="BH15" s="52">
        <f t="shared" ref="BH15" si="130">BH14/BG14-1</f>
        <v>7.010380282383033E-2</v>
      </c>
      <c r="BI15" s="52">
        <f t="shared" ref="BI15" si="131">BI14/BH14-1</f>
        <v>7.010849577050382E-2</v>
      </c>
      <c r="BJ15" s="52">
        <f t="shared" ref="BJ15" si="132">BJ14/BI14-1</f>
        <v>7.0112127851527317E-2</v>
      </c>
      <c r="BK15" s="52">
        <f t="shared" ref="BK15" si="133">BK14/BJ14-1</f>
        <v>7.0095146332650904E-2</v>
      </c>
      <c r="BL15" s="52">
        <f t="shared" ref="BL15" si="134">BL14/BK14-1</f>
        <v>7.0043143875445413E-2</v>
      </c>
      <c r="BM15" s="52">
        <f t="shared" ref="BM15" si="135">BM14/BL14-1</f>
        <v>7.0016127901269209E-2</v>
      </c>
      <c r="BN15" s="52">
        <f t="shared" ref="BN15" si="136">BN14/BM14-1</f>
        <v>7.0021953537140691E-2</v>
      </c>
      <c r="BO15" t="s">
        <v>0</v>
      </c>
    </row>
    <row r="16" spans="1:67" ht="3" customHeight="1" x14ac:dyDescent="0.3"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t="s">
        <v>0</v>
      </c>
    </row>
    <row r="17" spans="1:67" ht="14.55" customHeight="1" x14ac:dyDescent="0.3">
      <c r="B17" s="22" t="s">
        <v>0</v>
      </c>
      <c r="C17" s="31" t="s">
        <v>45</v>
      </c>
      <c r="D17" s="31"/>
      <c r="E17" s="31"/>
      <c r="F17" s="31"/>
      <c r="G17" s="39">
        <f>SUM(G14,G11)</f>
        <v>4212.5</v>
      </c>
      <c r="H17" s="39">
        <f t="shared" ref="H17:AD17" si="137">SUM(H14,H11)</f>
        <v>8385</v>
      </c>
      <c r="I17" s="39">
        <f t="shared" si="137"/>
        <v>12607.5</v>
      </c>
      <c r="J17" s="39">
        <f t="shared" si="137"/>
        <v>16880</v>
      </c>
      <c r="K17" s="39">
        <f t="shared" si="137"/>
        <v>21290</v>
      </c>
      <c r="L17" s="39">
        <f t="shared" si="137"/>
        <v>25867.5</v>
      </c>
      <c r="M17" s="39">
        <f t="shared" si="137"/>
        <v>30672.5</v>
      </c>
      <c r="N17" s="39">
        <f t="shared" si="137"/>
        <v>35732.5</v>
      </c>
      <c r="O17" s="39">
        <f t="shared" si="137"/>
        <v>41107.5</v>
      </c>
      <c r="P17" s="39">
        <f t="shared" si="137"/>
        <v>46825</v>
      </c>
      <c r="Q17" s="39">
        <f t="shared" si="137"/>
        <v>52915</v>
      </c>
      <c r="R17" s="39">
        <f t="shared" si="137"/>
        <v>59435</v>
      </c>
      <c r="S17" s="39">
        <f t="shared" si="137"/>
        <v>65952.5</v>
      </c>
      <c r="T17" s="39">
        <f t="shared" si="137"/>
        <v>72962.5</v>
      </c>
      <c r="U17" s="39">
        <f t="shared" si="137"/>
        <v>80522.5</v>
      </c>
      <c r="V17" s="39">
        <f t="shared" si="137"/>
        <v>88720</v>
      </c>
      <c r="W17" s="39">
        <f t="shared" si="137"/>
        <v>97585</v>
      </c>
      <c r="X17" s="39">
        <f t="shared" si="137"/>
        <v>107177.5</v>
      </c>
      <c r="Y17" s="39">
        <f t="shared" si="137"/>
        <v>117585</v>
      </c>
      <c r="Z17" s="39">
        <f t="shared" si="137"/>
        <v>128895</v>
      </c>
      <c r="AA17" s="39">
        <f t="shared" si="137"/>
        <v>141165</v>
      </c>
      <c r="AB17" s="39">
        <f t="shared" si="137"/>
        <v>154542.5</v>
      </c>
      <c r="AC17" s="39">
        <f t="shared" si="137"/>
        <v>169087.5</v>
      </c>
      <c r="AD17" s="39">
        <f t="shared" si="137"/>
        <v>184857.5</v>
      </c>
      <c r="AE17" s="39">
        <f t="shared" ref="AE17:BN17" si="138">SUM(AE14,AE11)</f>
        <v>201067.5</v>
      </c>
      <c r="AF17" s="39">
        <f t="shared" si="138"/>
        <v>218712.5</v>
      </c>
      <c r="AG17" s="39">
        <f t="shared" si="138"/>
        <v>237940</v>
      </c>
      <c r="AH17" s="39">
        <f t="shared" si="138"/>
        <v>258927.5</v>
      </c>
      <c r="AI17" s="39">
        <f t="shared" si="138"/>
        <v>281762.5</v>
      </c>
      <c r="AJ17" s="39">
        <f t="shared" si="138"/>
        <v>306680</v>
      </c>
      <c r="AK17" s="39">
        <f t="shared" si="138"/>
        <v>333857.5</v>
      </c>
      <c r="AL17" s="39">
        <f t="shared" si="138"/>
        <v>363475</v>
      </c>
      <c r="AM17" s="39">
        <f t="shared" si="138"/>
        <v>395767.5</v>
      </c>
      <c r="AN17" s="39">
        <f t="shared" si="138"/>
        <v>430970</v>
      </c>
      <c r="AO17" s="39">
        <f t="shared" si="138"/>
        <v>469435</v>
      </c>
      <c r="AP17" s="39">
        <f t="shared" si="138"/>
        <v>511402.5</v>
      </c>
      <c r="AQ17" s="39">
        <f t="shared" si="138"/>
        <v>557170</v>
      </c>
      <c r="AR17" s="39">
        <f t="shared" si="138"/>
        <v>607177.5</v>
      </c>
      <c r="AS17" s="39">
        <f t="shared" si="138"/>
        <v>661810</v>
      </c>
      <c r="AT17" s="39">
        <f t="shared" si="138"/>
        <v>721425</v>
      </c>
      <c r="AU17" s="39">
        <f t="shared" si="138"/>
        <v>786582.5</v>
      </c>
      <c r="AV17" s="39">
        <f t="shared" si="138"/>
        <v>857785</v>
      </c>
      <c r="AW17" s="39">
        <f t="shared" si="138"/>
        <v>935597.5</v>
      </c>
      <c r="AX17" s="39">
        <f t="shared" si="138"/>
        <v>1020670</v>
      </c>
      <c r="AY17" s="39">
        <f t="shared" si="138"/>
        <v>1113655</v>
      </c>
      <c r="AZ17" s="39">
        <f t="shared" si="138"/>
        <v>1215265</v>
      </c>
      <c r="BA17" s="39">
        <f t="shared" si="138"/>
        <v>1326360</v>
      </c>
      <c r="BB17" s="39">
        <f t="shared" si="138"/>
        <v>1447857.5</v>
      </c>
      <c r="BC17" s="39">
        <f t="shared" si="138"/>
        <v>1580737.5</v>
      </c>
      <c r="BD17" s="39">
        <f t="shared" si="138"/>
        <v>1726100</v>
      </c>
      <c r="BE17" s="39">
        <f t="shared" si="138"/>
        <v>1885045</v>
      </c>
      <c r="BF17" s="39">
        <f t="shared" si="138"/>
        <v>2058962.5</v>
      </c>
      <c r="BG17" s="39">
        <f t="shared" si="138"/>
        <v>2249252.5</v>
      </c>
      <c r="BH17" s="39">
        <f t="shared" si="138"/>
        <v>2457490</v>
      </c>
      <c r="BI17" s="39">
        <f t="shared" si="138"/>
        <v>2685367.5</v>
      </c>
      <c r="BJ17" s="39">
        <f t="shared" si="138"/>
        <v>2934817.5</v>
      </c>
      <c r="BK17" s="39">
        <f t="shared" si="138"/>
        <v>3207862.5</v>
      </c>
      <c r="BL17" s="39">
        <f t="shared" si="138"/>
        <v>3506735</v>
      </c>
      <c r="BM17" s="39">
        <f t="shared" si="138"/>
        <v>3833932.5</v>
      </c>
      <c r="BN17" s="39">
        <f t="shared" si="138"/>
        <v>4192220</v>
      </c>
      <c r="BO17" t="s">
        <v>0</v>
      </c>
    </row>
    <row r="18" spans="1:67" ht="14.55" customHeight="1" x14ac:dyDescent="0.3">
      <c r="C18" s="25" t="s">
        <v>19</v>
      </c>
      <c r="H18" s="52">
        <f>H17/G17-1</f>
        <v>0.99050445103857565</v>
      </c>
      <c r="I18" s="52">
        <f t="shared" ref="I18" si="139">I17/H17-1</f>
        <v>0.50357781753130593</v>
      </c>
      <c r="J18" s="52">
        <f t="shared" ref="J18" si="140">J17/I17-1</f>
        <v>0.33888558397779089</v>
      </c>
      <c r="K18" s="52">
        <f t="shared" ref="K18" si="141">K17/J17-1</f>
        <v>0.26125592417061605</v>
      </c>
      <c r="L18" s="52">
        <f t="shared" ref="L18" si="142">L17/K17-1</f>
        <v>0.21500704556129646</v>
      </c>
      <c r="M18" s="52">
        <f t="shared" ref="M18" si="143">M17/L17-1</f>
        <v>0.18575432492509902</v>
      </c>
      <c r="N18" s="52">
        <f t="shared" ref="N18" si="144">N17/M17-1</f>
        <v>0.16496862009943758</v>
      </c>
      <c r="O18" s="52">
        <f t="shared" ref="O18" si="145">O17/N17-1</f>
        <v>0.15042328412509609</v>
      </c>
      <c r="P18" s="52">
        <f t="shared" ref="P18" si="146">P17/O17-1</f>
        <v>0.13908654138539189</v>
      </c>
      <c r="Q18" s="52">
        <f t="shared" ref="Q18" si="147">Q17/P17-1</f>
        <v>0.13005872931126539</v>
      </c>
      <c r="R18" s="52">
        <f t="shared" ref="R18" si="148">R17/Q17-1</f>
        <v>0.12321647925918922</v>
      </c>
      <c r="S18" s="52">
        <f t="shared" ref="S18" si="149">S17/R17-1</f>
        <v>0.10965760915285605</v>
      </c>
      <c r="T18" s="52">
        <f t="shared" ref="T18" si="150">T17/S17-1</f>
        <v>0.10628861680755097</v>
      </c>
      <c r="U18" s="52">
        <f t="shared" ref="U18" si="151">U17/T17-1</f>
        <v>0.10361487065273267</v>
      </c>
      <c r="V18" s="52">
        <f t="shared" ref="V18" si="152">V17/U17-1</f>
        <v>0.10180384364618589</v>
      </c>
      <c r="W18" s="52">
        <f t="shared" ref="W18" si="153">W17/V17-1</f>
        <v>9.9921100090171411E-2</v>
      </c>
      <c r="X18" s="52">
        <f t="shared" ref="X18" si="154">X17/W17-1</f>
        <v>9.8298918891223108E-2</v>
      </c>
      <c r="Y18" s="52">
        <f t="shared" ref="Y18" si="155">Y17/X17-1</f>
        <v>9.7105269296260843E-2</v>
      </c>
      <c r="Z18" s="52">
        <f t="shared" ref="Z18" si="156">Z17/Y17-1</f>
        <v>9.6185737976782759E-2</v>
      </c>
      <c r="AA18" s="52">
        <f t="shared" ref="AA18" si="157">AA17/Z17-1</f>
        <v>9.519376236471544E-2</v>
      </c>
      <c r="AB18" s="52">
        <f t="shared" ref="AB18" si="158">AB17/AA17-1</f>
        <v>9.47649913222115E-2</v>
      </c>
      <c r="AC18" s="52">
        <f t="shared" ref="AC18" si="159">AC17/AB17-1</f>
        <v>9.4116505168481135E-2</v>
      </c>
      <c r="AD18" s="52">
        <f t="shared" ref="AD18" si="160">AD17/AC17-1</f>
        <v>9.3265321209432983E-2</v>
      </c>
      <c r="BO18" t="s">
        <v>0</v>
      </c>
    </row>
    <row r="19" spans="1:67" ht="3" customHeight="1" x14ac:dyDescent="0.3">
      <c r="C19" s="25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BO19" t="s">
        <v>0</v>
      </c>
    </row>
    <row r="20" spans="1:67" ht="14.55" customHeight="1" x14ac:dyDescent="0.3">
      <c r="C20" t="s">
        <v>153</v>
      </c>
      <c r="G20" s="17">
        <f>G11*12</f>
        <v>32400</v>
      </c>
      <c r="H20" s="17">
        <f>H11*12</f>
        <v>63000</v>
      </c>
      <c r="I20" s="17">
        <f t="shared" ref="I20:AD20" si="161">I11*12</f>
        <v>92880</v>
      </c>
      <c r="J20" s="17">
        <f t="shared" si="161"/>
        <v>122040</v>
      </c>
      <c r="K20" s="17">
        <f t="shared" si="161"/>
        <v>151200</v>
      </c>
      <c r="L20" s="17">
        <f t="shared" si="161"/>
        <v>180720</v>
      </c>
      <c r="M20" s="17">
        <f t="shared" si="161"/>
        <v>211320</v>
      </c>
      <c r="N20" s="17">
        <f t="shared" si="161"/>
        <v>243000</v>
      </c>
      <c r="O20" s="17">
        <f t="shared" si="161"/>
        <v>276480</v>
      </c>
      <c r="P20" s="17">
        <f t="shared" si="161"/>
        <v>311760</v>
      </c>
      <c r="Q20" s="17">
        <f t="shared" si="161"/>
        <v>349200</v>
      </c>
      <c r="R20" s="17">
        <f t="shared" si="161"/>
        <v>389160</v>
      </c>
      <c r="S20" s="17">
        <f t="shared" si="161"/>
        <v>432720</v>
      </c>
      <c r="T20" s="17">
        <f t="shared" si="161"/>
        <v>479880</v>
      </c>
      <c r="U20" s="17">
        <f t="shared" si="161"/>
        <v>531000</v>
      </c>
      <c r="V20" s="17">
        <f t="shared" si="161"/>
        <v>586800</v>
      </c>
      <c r="W20" s="17">
        <f t="shared" si="161"/>
        <v>647640</v>
      </c>
      <c r="X20" s="17">
        <f t="shared" si="161"/>
        <v>714240</v>
      </c>
      <c r="Y20" s="17">
        <f t="shared" si="161"/>
        <v>787320</v>
      </c>
      <c r="Z20" s="17">
        <f t="shared" si="161"/>
        <v>867600</v>
      </c>
      <c r="AA20" s="17">
        <f t="shared" si="161"/>
        <v>955440</v>
      </c>
      <c r="AB20" s="17">
        <f t="shared" si="161"/>
        <v>1052280</v>
      </c>
      <c r="AC20" s="17">
        <f t="shared" si="161"/>
        <v>1158840</v>
      </c>
      <c r="AD20" s="17">
        <f t="shared" si="161"/>
        <v>1275480</v>
      </c>
      <c r="AE20" s="17">
        <f t="shared" ref="AE20:BN20" si="162">AE11*12</f>
        <v>1404000</v>
      </c>
      <c r="AF20" s="17">
        <f t="shared" si="162"/>
        <v>1545120</v>
      </c>
      <c r="AG20" s="17">
        <f t="shared" si="162"/>
        <v>1700280</v>
      </c>
      <c r="AH20" s="17">
        <f t="shared" si="162"/>
        <v>1871280</v>
      </c>
      <c r="AI20" s="17">
        <f t="shared" si="162"/>
        <v>2058840</v>
      </c>
      <c r="AJ20" s="17">
        <f t="shared" si="162"/>
        <v>2265120</v>
      </c>
      <c r="AK20" s="17">
        <f t="shared" si="162"/>
        <v>2491920</v>
      </c>
      <c r="AL20" s="17">
        <f t="shared" si="162"/>
        <v>2741400</v>
      </c>
      <c r="AM20" s="17">
        <f t="shared" si="162"/>
        <v>3015720</v>
      </c>
      <c r="AN20" s="17">
        <f t="shared" si="162"/>
        <v>3317040</v>
      </c>
      <c r="AO20" s="17">
        <f t="shared" si="162"/>
        <v>3648600</v>
      </c>
      <c r="AP20" s="17">
        <f t="shared" si="162"/>
        <v>4013280</v>
      </c>
      <c r="AQ20" s="17">
        <f t="shared" si="162"/>
        <v>4414320</v>
      </c>
      <c r="AR20" s="17">
        <f t="shared" si="162"/>
        <v>4855680</v>
      </c>
      <c r="AS20" s="17">
        <f t="shared" si="162"/>
        <v>5341320</v>
      </c>
      <c r="AT20" s="17">
        <f t="shared" si="162"/>
        <v>5875200</v>
      </c>
      <c r="AU20" s="17">
        <f t="shared" si="162"/>
        <v>6462720</v>
      </c>
      <c r="AV20" s="17">
        <f t="shared" si="162"/>
        <v>7108920</v>
      </c>
      <c r="AW20" s="17">
        <f t="shared" si="162"/>
        <v>7819920</v>
      </c>
      <c r="AX20" s="17">
        <f t="shared" si="162"/>
        <v>8602200</v>
      </c>
      <c r="AY20" s="17">
        <f t="shared" si="162"/>
        <v>9462600</v>
      </c>
      <c r="AZ20" s="17">
        <f t="shared" si="162"/>
        <v>10408680</v>
      </c>
      <c r="BA20" s="17">
        <f t="shared" si="162"/>
        <v>11449440</v>
      </c>
      <c r="BB20" s="17">
        <f t="shared" si="162"/>
        <v>12594240</v>
      </c>
      <c r="BC20" s="17">
        <f t="shared" si="162"/>
        <v>13853520</v>
      </c>
      <c r="BD20" s="17">
        <f t="shared" si="162"/>
        <v>15239160</v>
      </c>
      <c r="BE20" s="17">
        <f t="shared" si="162"/>
        <v>16763040</v>
      </c>
      <c r="BF20" s="17">
        <f t="shared" si="162"/>
        <v>18439200</v>
      </c>
      <c r="BG20" s="17">
        <f t="shared" si="162"/>
        <v>20283120</v>
      </c>
      <c r="BH20" s="17">
        <f t="shared" si="162"/>
        <v>22311720</v>
      </c>
      <c r="BI20" s="17">
        <f t="shared" si="162"/>
        <v>24543000</v>
      </c>
      <c r="BJ20" s="17">
        <f t="shared" si="162"/>
        <v>26997840</v>
      </c>
      <c r="BK20" s="17">
        <f t="shared" si="162"/>
        <v>29698200</v>
      </c>
      <c r="BL20" s="17">
        <f t="shared" si="162"/>
        <v>32668560</v>
      </c>
      <c r="BM20" s="17">
        <f t="shared" si="162"/>
        <v>35935920</v>
      </c>
      <c r="BN20" s="17">
        <f t="shared" si="162"/>
        <v>39530160</v>
      </c>
      <c r="BO20" t="s">
        <v>0</v>
      </c>
    </row>
    <row r="21" spans="1:67" ht="14.55" customHeight="1" x14ac:dyDescent="0.3">
      <c r="C21" s="25" t="s">
        <v>19</v>
      </c>
      <c r="H21" s="52">
        <f>H20/G20-1</f>
        <v>0.94444444444444442</v>
      </c>
      <c r="I21" s="52">
        <f t="shared" ref="I21:AD21" si="163">I20/H20-1</f>
        <v>0.4742857142857142</v>
      </c>
      <c r="J21" s="52">
        <f t="shared" si="163"/>
        <v>0.31395348837209291</v>
      </c>
      <c r="K21" s="52">
        <f t="shared" si="163"/>
        <v>0.23893805309734506</v>
      </c>
      <c r="L21" s="52">
        <f t="shared" si="163"/>
        <v>0.19523809523809521</v>
      </c>
      <c r="M21" s="52">
        <f t="shared" si="163"/>
        <v>0.16932270916334669</v>
      </c>
      <c r="N21" s="52">
        <f t="shared" si="163"/>
        <v>0.14991482112436105</v>
      </c>
      <c r="O21" s="52">
        <f t="shared" si="163"/>
        <v>0.13777777777777778</v>
      </c>
      <c r="P21" s="52">
        <f t="shared" si="163"/>
        <v>0.12760416666666674</v>
      </c>
      <c r="Q21" s="52">
        <f t="shared" si="163"/>
        <v>0.12009237875288692</v>
      </c>
      <c r="R21" s="52">
        <f t="shared" si="163"/>
        <v>0.11443298969072169</v>
      </c>
      <c r="S21" s="52">
        <f t="shared" si="163"/>
        <v>0.11193339500462529</v>
      </c>
      <c r="T21" s="52">
        <f t="shared" si="163"/>
        <v>0.10898502495840257</v>
      </c>
      <c r="U21" s="52">
        <f t="shared" si="163"/>
        <v>0.10652663165791454</v>
      </c>
      <c r="V21" s="52">
        <f t="shared" si="163"/>
        <v>0.10508474576271176</v>
      </c>
      <c r="W21" s="52">
        <f t="shared" si="163"/>
        <v>0.10368098159509209</v>
      </c>
      <c r="X21" s="52">
        <f t="shared" si="163"/>
        <v>0.10283490828237918</v>
      </c>
      <c r="Y21" s="52">
        <f t="shared" si="163"/>
        <v>0.10231854838709675</v>
      </c>
      <c r="Z21" s="52">
        <f t="shared" si="163"/>
        <v>0.1019661636945588</v>
      </c>
      <c r="AA21" s="52">
        <f t="shared" si="163"/>
        <v>0.10124481327800838</v>
      </c>
      <c r="AB21" s="52">
        <f t="shared" si="163"/>
        <v>0.10135644310474756</v>
      </c>
      <c r="AC21" s="52">
        <f t="shared" si="163"/>
        <v>0.10126582278481022</v>
      </c>
      <c r="AD21" s="52">
        <f t="shared" si="163"/>
        <v>0.10065237651444559</v>
      </c>
      <c r="AE21" s="52">
        <f t="shared" ref="AE21" si="164">AE20/AD20-1</f>
        <v>0.10076206604572402</v>
      </c>
      <c r="AF21" s="52">
        <f t="shared" ref="AF21" si="165">AF20/AE20-1</f>
        <v>0.10051282051282051</v>
      </c>
      <c r="AG21" s="52">
        <f t="shared" ref="AG21" si="166">AG20/AF20-1</f>
        <v>0.10041938490214353</v>
      </c>
      <c r="AH21" s="52">
        <f t="shared" ref="AH21" si="167">AH20/AG20-1</f>
        <v>0.10057167054838034</v>
      </c>
      <c r="AI21" s="52">
        <f t="shared" ref="AI21" si="168">AI20/AH20-1</f>
        <v>0.10023085802231635</v>
      </c>
      <c r="AJ21" s="52">
        <f t="shared" ref="AJ21" si="169">AJ20/AI20-1</f>
        <v>0.10019234131841226</v>
      </c>
      <c r="AK21" s="52">
        <f t="shared" ref="AK21" si="170">AK20/AJ20-1</f>
        <v>0.100127145581691</v>
      </c>
      <c r="AL21" s="52">
        <f t="shared" ref="AL21" si="171">AL20/AK20-1</f>
        <v>0.10011557353366074</v>
      </c>
      <c r="AM21" s="52">
        <f t="shared" ref="AM21" si="172">AM20/AL20-1</f>
        <v>0.10006565988181215</v>
      </c>
      <c r="AN21" s="52">
        <f t="shared" ref="AN21" si="173">AN20/AM20-1</f>
        <v>9.9916437865584351E-2</v>
      </c>
      <c r="AO21" s="52">
        <f t="shared" ref="AO21" si="174">AO20/AN20-1</f>
        <v>9.9956587801172114E-2</v>
      </c>
      <c r="AP21" s="52">
        <f t="shared" ref="AP21" si="175">AP20/AO20-1</f>
        <v>9.9950666008880029E-2</v>
      </c>
      <c r="AQ21" s="52">
        <f t="shared" ref="AQ21" si="176">AQ20/AP20-1</f>
        <v>9.9928238249013202E-2</v>
      </c>
      <c r="AR21" s="52">
        <f t="shared" ref="AR21" si="177">AR20/AQ20-1</f>
        <v>9.9983689447072255E-2</v>
      </c>
      <c r="AS21" s="52">
        <f t="shared" ref="AS21" si="178">AS20/AR20-1</f>
        <v>0.10001482799525507</v>
      </c>
      <c r="AT21" s="52">
        <f t="shared" ref="AT21" si="179">AT20/AS20-1</f>
        <v>9.9952820651074914E-2</v>
      </c>
      <c r="AU21" s="52">
        <f t="shared" ref="AU21" si="180">AU20/AT20-1</f>
        <v>0.10000000000000009</v>
      </c>
      <c r="AV21" s="52">
        <f t="shared" ref="AV21" si="181">AV20/AU20-1</f>
        <v>9.998885918003575E-2</v>
      </c>
      <c r="AW21" s="52">
        <f t="shared" ref="AW21" si="182">AW20/AV20-1</f>
        <v>0.10001519218109078</v>
      </c>
      <c r="AX21" s="52">
        <f t="shared" ref="AX21" si="183">AX20/AW20-1</f>
        <v>0.10003682902126876</v>
      </c>
      <c r="AY21" s="52">
        <f t="shared" ref="AY21" si="184">AY20/AX20-1</f>
        <v>0.10002092487968195</v>
      </c>
      <c r="AZ21" s="52">
        <f t="shared" ref="AZ21" si="185">AZ20/AY20-1</f>
        <v>9.998097774396042E-2</v>
      </c>
      <c r="BA21" s="52">
        <f t="shared" ref="BA21" si="186">BA20/AZ20-1</f>
        <v>9.9989624044547476E-2</v>
      </c>
      <c r="BB21" s="52">
        <f t="shared" ref="BB21" si="187">BB20/BA20-1</f>
        <v>9.9987422965664763E-2</v>
      </c>
      <c r="BC21" s="52">
        <f t="shared" ref="BC21" si="188">BC20/BB20-1</f>
        <v>9.9988566201692164E-2</v>
      </c>
      <c r="BD21" s="52">
        <f t="shared" ref="BD21" si="189">BD20/BC20-1</f>
        <v>0.10002078894028377</v>
      </c>
      <c r="BE21" s="52">
        <f t="shared" ref="BE21" si="190">BE20/BD20-1</f>
        <v>9.9997637665068195E-2</v>
      </c>
      <c r="BF21" s="52">
        <f t="shared" ref="BF21" si="191">BF20/BE20-1</f>
        <v>9.9991409672708587E-2</v>
      </c>
      <c r="BG21" s="52">
        <f t="shared" ref="BG21" si="192">BG20/BF20-1</f>
        <v>0.10000000000000009</v>
      </c>
      <c r="BH21" s="52">
        <f t="shared" ref="BH21" si="193">BH20/BG20-1</f>
        <v>0.10001419899897068</v>
      </c>
      <c r="BI21" s="52">
        <f t="shared" ref="BI21" si="194">BI20/BH20-1</f>
        <v>0.10000484050534886</v>
      </c>
      <c r="BJ21" s="52">
        <f t="shared" ref="BJ21" si="195">BJ20/BI20-1</f>
        <v>0.10002200220022006</v>
      </c>
      <c r="BK21" s="52">
        <f t="shared" ref="BK21" si="196">BK20/BJ20-1</f>
        <v>0.10002133504013644</v>
      </c>
      <c r="BL21" s="52">
        <f t="shared" ref="BL21" si="197">BL20/BK20-1</f>
        <v>0.10001818292017695</v>
      </c>
      <c r="BM21" s="52">
        <f t="shared" ref="BM21" si="198">BM20/BL20-1</f>
        <v>0.10001542767725291</v>
      </c>
      <c r="BN21" s="52">
        <f t="shared" ref="BN21" si="199">BN20/BM20-1</f>
        <v>0.10001803209713289</v>
      </c>
      <c r="BO21" t="s">
        <v>0</v>
      </c>
    </row>
    <row r="22" spans="1:67" ht="3" customHeight="1" x14ac:dyDescent="0.3">
      <c r="BO22" t="s">
        <v>0</v>
      </c>
    </row>
    <row r="23" spans="1:67" ht="14.55" customHeight="1" x14ac:dyDescent="0.3">
      <c r="C23" t="s">
        <v>154</v>
      </c>
      <c r="G23" s="17">
        <f>G14*12</f>
        <v>18150</v>
      </c>
      <c r="H23" s="17">
        <f>H14*12</f>
        <v>37620</v>
      </c>
      <c r="I23" s="17">
        <f t="shared" ref="I23:AD23" si="200">I14*12</f>
        <v>58410</v>
      </c>
      <c r="J23" s="17">
        <f t="shared" si="200"/>
        <v>80520</v>
      </c>
      <c r="K23" s="17">
        <f t="shared" si="200"/>
        <v>104280</v>
      </c>
      <c r="L23" s="17">
        <f t="shared" si="200"/>
        <v>129690</v>
      </c>
      <c r="M23" s="17">
        <f t="shared" si="200"/>
        <v>156750</v>
      </c>
      <c r="N23" s="17">
        <f t="shared" si="200"/>
        <v>185790</v>
      </c>
      <c r="O23" s="17">
        <f t="shared" si="200"/>
        <v>216810</v>
      </c>
      <c r="P23" s="17">
        <f t="shared" si="200"/>
        <v>250140</v>
      </c>
      <c r="Q23" s="17">
        <f t="shared" si="200"/>
        <v>285780</v>
      </c>
      <c r="R23" s="17">
        <f t="shared" si="200"/>
        <v>324060</v>
      </c>
      <c r="S23" s="17">
        <f t="shared" si="200"/>
        <v>358710</v>
      </c>
      <c r="T23" s="17">
        <f t="shared" si="200"/>
        <v>395670</v>
      </c>
      <c r="U23" s="17">
        <f t="shared" si="200"/>
        <v>435270</v>
      </c>
      <c r="V23" s="17">
        <f t="shared" si="200"/>
        <v>477840</v>
      </c>
      <c r="W23" s="17">
        <f t="shared" si="200"/>
        <v>523380</v>
      </c>
      <c r="X23" s="17">
        <f t="shared" si="200"/>
        <v>571890</v>
      </c>
      <c r="Y23" s="17">
        <f t="shared" si="200"/>
        <v>623700</v>
      </c>
      <c r="Z23" s="17">
        <f t="shared" si="200"/>
        <v>679140</v>
      </c>
      <c r="AA23" s="17">
        <f t="shared" si="200"/>
        <v>738540</v>
      </c>
      <c r="AB23" s="17">
        <f t="shared" si="200"/>
        <v>802230</v>
      </c>
      <c r="AC23" s="17">
        <f t="shared" si="200"/>
        <v>870210</v>
      </c>
      <c r="AD23" s="17">
        <f t="shared" si="200"/>
        <v>942810</v>
      </c>
      <c r="AE23" s="17">
        <f t="shared" ref="AE23:BN23" si="201">AE14*12</f>
        <v>1008810</v>
      </c>
      <c r="AF23" s="17">
        <f t="shared" si="201"/>
        <v>1079430</v>
      </c>
      <c r="AG23" s="17">
        <f t="shared" si="201"/>
        <v>1155000</v>
      </c>
      <c r="AH23" s="17">
        <f t="shared" si="201"/>
        <v>1235850</v>
      </c>
      <c r="AI23" s="17">
        <f t="shared" si="201"/>
        <v>1322310</v>
      </c>
      <c r="AJ23" s="17">
        <f t="shared" si="201"/>
        <v>1415040</v>
      </c>
      <c r="AK23" s="17">
        <f t="shared" si="201"/>
        <v>1514370</v>
      </c>
      <c r="AL23" s="17">
        <f t="shared" si="201"/>
        <v>1620300</v>
      </c>
      <c r="AM23" s="17">
        <f t="shared" si="201"/>
        <v>1733490</v>
      </c>
      <c r="AN23" s="17">
        <f t="shared" si="201"/>
        <v>1854600</v>
      </c>
      <c r="AO23" s="17">
        <f t="shared" si="201"/>
        <v>1984620</v>
      </c>
      <c r="AP23" s="17">
        <f t="shared" si="201"/>
        <v>2123550</v>
      </c>
      <c r="AQ23" s="17">
        <f t="shared" si="201"/>
        <v>2271720</v>
      </c>
      <c r="AR23" s="17">
        <f t="shared" si="201"/>
        <v>2430450</v>
      </c>
      <c r="AS23" s="17">
        <f t="shared" si="201"/>
        <v>2600400</v>
      </c>
      <c r="AT23" s="17">
        <f t="shared" si="201"/>
        <v>2781900</v>
      </c>
      <c r="AU23" s="17">
        <f t="shared" si="201"/>
        <v>2976270</v>
      </c>
      <c r="AV23" s="17">
        <f t="shared" si="201"/>
        <v>3184500</v>
      </c>
      <c r="AW23" s="17">
        <f t="shared" si="201"/>
        <v>3407250</v>
      </c>
      <c r="AX23" s="17">
        <f t="shared" si="201"/>
        <v>3645840</v>
      </c>
      <c r="AY23" s="17">
        <f t="shared" si="201"/>
        <v>3901260</v>
      </c>
      <c r="AZ23" s="17">
        <f t="shared" si="201"/>
        <v>4174500</v>
      </c>
      <c r="BA23" s="17">
        <f t="shared" si="201"/>
        <v>4466880</v>
      </c>
      <c r="BB23" s="17">
        <f t="shared" si="201"/>
        <v>4780050</v>
      </c>
      <c r="BC23" s="17">
        <f t="shared" si="201"/>
        <v>5115330</v>
      </c>
      <c r="BD23" s="17">
        <f t="shared" si="201"/>
        <v>5474040</v>
      </c>
      <c r="BE23" s="17">
        <f t="shared" si="201"/>
        <v>5857500</v>
      </c>
      <c r="BF23" s="17">
        <f t="shared" si="201"/>
        <v>6268350</v>
      </c>
      <c r="BG23" s="17">
        <f t="shared" si="201"/>
        <v>6707910</v>
      </c>
      <c r="BH23" s="17">
        <f t="shared" si="201"/>
        <v>7178160</v>
      </c>
      <c r="BI23" s="17">
        <f t="shared" si="201"/>
        <v>7681410</v>
      </c>
      <c r="BJ23" s="17">
        <f t="shared" si="201"/>
        <v>8219970</v>
      </c>
      <c r="BK23" s="17">
        <f t="shared" si="201"/>
        <v>8796150</v>
      </c>
      <c r="BL23" s="17">
        <f t="shared" si="201"/>
        <v>9412260</v>
      </c>
      <c r="BM23" s="17">
        <f t="shared" si="201"/>
        <v>10071270</v>
      </c>
      <c r="BN23" s="17">
        <f t="shared" si="201"/>
        <v>10776480</v>
      </c>
      <c r="BO23" t="s">
        <v>0</v>
      </c>
    </row>
    <row r="24" spans="1:67" ht="14.55" customHeight="1" x14ac:dyDescent="0.3">
      <c r="C24" s="25" t="s">
        <v>19</v>
      </c>
      <c r="H24" s="52">
        <f>H23/G23-1</f>
        <v>1.0727272727272728</v>
      </c>
      <c r="I24" s="52">
        <f t="shared" ref="I24:AD24" si="202">I23/H23-1</f>
        <v>0.55263157894736836</v>
      </c>
      <c r="J24" s="52">
        <f t="shared" si="202"/>
        <v>0.37853107344632764</v>
      </c>
      <c r="K24" s="52">
        <f t="shared" si="202"/>
        <v>0.29508196721311486</v>
      </c>
      <c r="L24" s="52">
        <f t="shared" si="202"/>
        <v>0.24367088607594933</v>
      </c>
      <c r="M24" s="52">
        <f t="shared" si="202"/>
        <v>0.20865139949109412</v>
      </c>
      <c r="N24" s="52">
        <f t="shared" si="202"/>
        <v>0.1852631578947368</v>
      </c>
      <c r="O24" s="52">
        <f t="shared" si="202"/>
        <v>0.1669626998223801</v>
      </c>
      <c r="P24" s="52">
        <f t="shared" si="202"/>
        <v>0.15372907153729076</v>
      </c>
      <c r="Q24" s="52">
        <f t="shared" si="202"/>
        <v>0.14248021108179421</v>
      </c>
      <c r="R24" s="52">
        <f t="shared" si="202"/>
        <v>0.13394919168591235</v>
      </c>
      <c r="S24" s="52">
        <f t="shared" si="202"/>
        <v>0.10692464358452147</v>
      </c>
      <c r="T24" s="52">
        <f t="shared" si="202"/>
        <v>0.1030358785648573</v>
      </c>
      <c r="U24" s="52">
        <f t="shared" si="202"/>
        <v>0.1000834028356965</v>
      </c>
      <c r="V24" s="52">
        <f t="shared" si="202"/>
        <v>9.7801364670204727E-2</v>
      </c>
      <c r="W24" s="52">
        <f t="shared" si="202"/>
        <v>9.5303867403314868E-2</v>
      </c>
      <c r="X24" s="52">
        <f t="shared" si="202"/>
        <v>9.2686002522068156E-2</v>
      </c>
      <c r="Y24" s="52">
        <f t="shared" si="202"/>
        <v>9.0594345066358883E-2</v>
      </c>
      <c r="Z24" s="52">
        <f t="shared" si="202"/>
        <v>8.8888888888888795E-2</v>
      </c>
      <c r="AA24" s="52">
        <f t="shared" si="202"/>
        <v>8.7463556851312019E-2</v>
      </c>
      <c r="AB24" s="52">
        <f t="shared" si="202"/>
        <v>8.6237712243074194E-2</v>
      </c>
      <c r="AC24" s="52">
        <f t="shared" si="202"/>
        <v>8.4738790621143645E-2</v>
      </c>
      <c r="AD24" s="52">
        <f t="shared" si="202"/>
        <v>8.3428138035646526E-2</v>
      </c>
      <c r="AE24" s="52">
        <f t="shared" ref="AE24" si="203">AE23/AD23-1</f>
        <v>7.0003500175008782E-2</v>
      </c>
      <c r="AF24" s="52">
        <f t="shared" ref="AF24" si="204">AF23/AE23-1</f>
        <v>7.000327118089622E-2</v>
      </c>
      <c r="AG24" s="52">
        <f t="shared" ref="AG24" si="205">AG23/AF23-1</f>
        <v>7.0009171507184442E-2</v>
      </c>
      <c r="AH24" s="52">
        <f t="shared" ref="AH24" si="206">AH23/AG23-1</f>
        <v>7.0000000000000062E-2</v>
      </c>
      <c r="AI24" s="52">
        <f t="shared" ref="AI24" si="207">AI23/AH23-1</f>
        <v>6.9959946595460565E-2</v>
      </c>
      <c r="AJ24" s="52">
        <f t="shared" ref="AJ24" si="208">AJ23/AI23-1</f>
        <v>7.0127277264786514E-2</v>
      </c>
      <c r="AK24" s="52">
        <f t="shared" ref="AK24" si="209">AK23/AJ23-1</f>
        <v>7.019589552238803E-2</v>
      </c>
      <c r="AL24" s="52">
        <f t="shared" ref="AL24" si="210">AL23/AK23-1</f>
        <v>6.9949880148180377E-2</v>
      </c>
      <c r="AM24" s="52">
        <f t="shared" ref="AM24" si="211">AM23/AL23-1</f>
        <v>6.9857433808554026E-2</v>
      </c>
      <c r="AN24" s="52">
        <f t="shared" ref="AN24" si="212">AN23/AM23-1</f>
        <v>6.9864839139539336E-2</v>
      </c>
      <c r="AO24" s="52">
        <f t="shared" ref="AO24" si="213">AO23/AN23-1</f>
        <v>7.0106761565836395E-2</v>
      </c>
      <c r="AP24" s="52">
        <f t="shared" ref="AP24" si="214">AP23/AO23-1</f>
        <v>7.0003325573661401E-2</v>
      </c>
      <c r="AQ24" s="52">
        <f t="shared" ref="AQ24" si="215">AQ23/AP23-1</f>
        <v>6.9774669774669729E-2</v>
      </c>
      <c r="AR24" s="52">
        <f t="shared" ref="AR24" si="216">AR23/AQ23-1</f>
        <v>6.9872167344567027E-2</v>
      </c>
      <c r="AS24" s="52">
        <f t="shared" ref="AS24" si="217">AS23/AR23-1</f>
        <v>6.9925322471147355E-2</v>
      </c>
      <c r="AT24" s="52">
        <f t="shared" ref="AT24" si="218">AT23/AS23-1</f>
        <v>6.9796954314720772E-2</v>
      </c>
      <c r="AU24" s="52">
        <f t="shared" ref="AU24" si="219">AU23/AT23-1</f>
        <v>6.9869513641755532E-2</v>
      </c>
      <c r="AV24" s="52">
        <f t="shared" ref="AV24" si="220">AV23/AU23-1</f>
        <v>6.9963410577669416E-2</v>
      </c>
      <c r="AW24" s="52">
        <f t="shared" ref="AW24" si="221">AW23/AV23-1</f>
        <v>6.9948186528497436E-2</v>
      </c>
      <c r="AX24" s="52">
        <f t="shared" ref="AX24" si="222">AX23/AW23-1</f>
        <v>7.0024213075060571E-2</v>
      </c>
      <c r="AY24" s="52">
        <f t="shared" ref="AY24" si="223">AY23/AX23-1</f>
        <v>7.0057929036929867E-2</v>
      </c>
      <c r="AZ24" s="52">
        <f t="shared" ref="AZ24" si="224">AZ23/AY23-1</f>
        <v>7.0038910505836549E-2</v>
      </c>
      <c r="BA24" s="52">
        <f t="shared" ref="BA24" si="225">BA23/AZ23-1</f>
        <v>7.0039525691699689E-2</v>
      </c>
      <c r="BB24" s="52">
        <f t="shared" ref="BB24" si="226">BB23/BA23-1</f>
        <v>7.0109338061465687E-2</v>
      </c>
      <c r="BC24" s="52">
        <f t="shared" ref="BC24" si="227">BC23/BB23-1</f>
        <v>7.0141525716258091E-2</v>
      </c>
      <c r="BD24" s="52">
        <f t="shared" ref="BD24" si="228">BD23/BC23-1</f>
        <v>7.0124508096251814E-2</v>
      </c>
      <c r="BE24" s="52">
        <f t="shared" ref="BE24" si="229">BE23/BD23-1</f>
        <v>7.0050639016156158E-2</v>
      </c>
      <c r="BF24" s="52">
        <f t="shared" ref="BF24" si="230">BF23/BE23-1</f>
        <v>7.0140845070422619E-2</v>
      </c>
      <c r="BG24" s="52">
        <f t="shared" ref="BG24" si="231">BG23/BF23-1</f>
        <v>7.0123716767570343E-2</v>
      </c>
      <c r="BH24" s="52">
        <f t="shared" ref="BH24" si="232">BH23/BG23-1</f>
        <v>7.010380282383033E-2</v>
      </c>
      <c r="BI24" s="52">
        <f t="shared" ref="BI24" si="233">BI23/BH23-1</f>
        <v>7.010849577050382E-2</v>
      </c>
      <c r="BJ24" s="52">
        <f t="shared" ref="BJ24" si="234">BJ23/BI23-1</f>
        <v>7.0112127851527317E-2</v>
      </c>
      <c r="BK24" s="52">
        <f t="shared" ref="BK24" si="235">BK23/BJ23-1</f>
        <v>7.0095146332650904E-2</v>
      </c>
      <c r="BL24" s="52">
        <f t="shared" ref="BL24" si="236">BL23/BK23-1</f>
        <v>7.0043143875445413E-2</v>
      </c>
      <c r="BM24" s="52">
        <f t="shared" ref="BM24" si="237">BM23/BL23-1</f>
        <v>7.0016127901269209E-2</v>
      </c>
      <c r="BN24" s="52">
        <f t="shared" ref="BN24" si="238">BN23/BM23-1</f>
        <v>7.0021953537140691E-2</v>
      </c>
      <c r="BO24" t="s">
        <v>0</v>
      </c>
    </row>
    <row r="25" spans="1:67" ht="3" customHeight="1" x14ac:dyDescent="0.3">
      <c r="BO25" t="s">
        <v>0</v>
      </c>
    </row>
    <row r="26" spans="1:67" ht="14.55" customHeight="1" x14ac:dyDescent="0.3">
      <c r="B26" s="22" t="s">
        <v>0</v>
      </c>
      <c r="C26" s="31" t="s">
        <v>44</v>
      </c>
      <c r="D26" s="31"/>
      <c r="E26" s="31"/>
      <c r="F26" s="31"/>
      <c r="G26" s="39">
        <f>SUM(G23,G20)</f>
        <v>50550</v>
      </c>
      <c r="H26" s="39">
        <f t="shared" ref="H26:AD26" si="239">SUM(H23,H20)</f>
        <v>100620</v>
      </c>
      <c r="I26" s="39">
        <f t="shared" si="239"/>
        <v>151290</v>
      </c>
      <c r="J26" s="39">
        <f t="shared" si="239"/>
        <v>202560</v>
      </c>
      <c r="K26" s="39">
        <f t="shared" si="239"/>
        <v>255480</v>
      </c>
      <c r="L26" s="39">
        <f t="shared" si="239"/>
        <v>310410</v>
      </c>
      <c r="M26" s="39">
        <f t="shared" si="239"/>
        <v>368070</v>
      </c>
      <c r="N26" s="39">
        <f t="shared" si="239"/>
        <v>428790</v>
      </c>
      <c r="O26" s="39">
        <f t="shared" si="239"/>
        <v>493290</v>
      </c>
      <c r="P26" s="39">
        <f t="shared" si="239"/>
        <v>561900</v>
      </c>
      <c r="Q26" s="39">
        <f t="shared" si="239"/>
        <v>634980</v>
      </c>
      <c r="R26" s="39">
        <f t="shared" si="239"/>
        <v>713220</v>
      </c>
      <c r="S26" s="39">
        <f t="shared" si="239"/>
        <v>791430</v>
      </c>
      <c r="T26" s="39">
        <f t="shared" si="239"/>
        <v>875550</v>
      </c>
      <c r="U26" s="39">
        <f t="shared" si="239"/>
        <v>966270</v>
      </c>
      <c r="V26" s="39">
        <f t="shared" si="239"/>
        <v>1064640</v>
      </c>
      <c r="W26" s="39">
        <f t="shared" si="239"/>
        <v>1171020</v>
      </c>
      <c r="X26" s="39">
        <f t="shared" si="239"/>
        <v>1286130</v>
      </c>
      <c r="Y26" s="39">
        <f t="shared" si="239"/>
        <v>1411020</v>
      </c>
      <c r="Z26" s="39">
        <f t="shared" si="239"/>
        <v>1546740</v>
      </c>
      <c r="AA26" s="39">
        <f t="shared" si="239"/>
        <v>1693980</v>
      </c>
      <c r="AB26" s="39">
        <f t="shared" si="239"/>
        <v>1854510</v>
      </c>
      <c r="AC26" s="39">
        <f t="shared" si="239"/>
        <v>2029050</v>
      </c>
      <c r="AD26" s="39">
        <f t="shared" si="239"/>
        <v>2218290</v>
      </c>
      <c r="AE26" s="39">
        <f t="shared" ref="AE26:BN26" si="240">SUM(AE23,AE20)</f>
        <v>2412810</v>
      </c>
      <c r="AF26" s="39">
        <f t="shared" si="240"/>
        <v>2624550</v>
      </c>
      <c r="AG26" s="39">
        <f t="shared" si="240"/>
        <v>2855280</v>
      </c>
      <c r="AH26" s="39">
        <f t="shared" si="240"/>
        <v>3107130</v>
      </c>
      <c r="AI26" s="39">
        <f t="shared" si="240"/>
        <v>3381150</v>
      </c>
      <c r="AJ26" s="39">
        <f t="shared" si="240"/>
        <v>3680160</v>
      </c>
      <c r="AK26" s="39">
        <f t="shared" si="240"/>
        <v>4006290</v>
      </c>
      <c r="AL26" s="39">
        <f t="shared" si="240"/>
        <v>4361700</v>
      </c>
      <c r="AM26" s="39">
        <f t="shared" si="240"/>
        <v>4749210</v>
      </c>
      <c r="AN26" s="39">
        <f t="shared" si="240"/>
        <v>5171640</v>
      </c>
      <c r="AO26" s="39">
        <f t="shared" si="240"/>
        <v>5633220</v>
      </c>
      <c r="AP26" s="39">
        <f t="shared" si="240"/>
        <v>6136830</v>
      </c>
      <c r="AQ26" s="39">
        <f t="shared" si="240"/>
        <v>6686040</v>
      </c>
      <c r="AR26" s="39">
        <f t="shared" si="240"/>
        <v>7286130</v>
      </c>
      <c r="AS26" s="39">
        <f t="shared" si="240"/>
        <v>7941720</v>
      </c>
      <c r="AT26" s="39">
        <f t="shared" si="240"/>
        <v>8657100</v>
      </c>
      <c r="AU26" s="39">
        <f t="shared" si="240"/>
        <v>9438990</v>
      </c>
      <c r="AV26" s="39">
        <f t="shared" si="240"/>
        <v>10293420</v>
      </c>
      <c r="AW26" s="39">
        <f t="shared" si="240"/>
        <v>11227170</v>
      </c>
      <c r="AX26" s="39">
        <f t="shared" si="240"/>
        <v>12248040</v>
      </c>
      <c r="AY26" s="39">
        <f t="shared" si="240"/>
        <v>13363860</v>
      </c>
      <c r="AZ26" s="39">
        <f t="shared" si="240"/>
        <v>14583180</v>
      </c>
      <c r="BA26" s="39">
        <f t="shared" si="240"/>
        <v>15916320</v>
      </c>
      <c r="BB26" s="39">
        <f t="shared" si="240"/>
        <v>17374290</v>
      </c>
      <c r="BC26" s="39">
        <f t="shared" si="240"/>
        <v>18968850</v>
      </c>
      <c r="BD26" s="39">
        <f t="shared" si="240"/>
        <v>20713200</v>
      </c>
      <c r="BE26" s="39">
        <f t="shared" si="240"/>
        <v>22620540</v>
      </c>
      <c r="BF26" s="39">
        <f t="shared" si="240"/>
        <v>24707550</v>
      </c>
      <c r="BG26" s="39">
        <f t="shared" si="240"/>
        <v>26991030</v>
      </c>
      <c r="BH26" s="39">
        <f t="shared" si="240"/>
        <v>29489880</v>
      </c>
      <c r="BI26" s="39">
        <f t="shared" si="240"/>
        <v>32224410</v>
      </c>
      <c r="BJ26" s="39">
        <f t="shared" si="240"/>
        <v>35217810</v>
      </c>
      <c r="BK26" s="39">
        <f t="shared" si="240"/>
        <v>38494350</v>
      </c>
      <c r="BL26" s="39">
        <f t="shared" si="240"/>
        <v>42080820</v>
      </c>
      <c r="BM26" s="39">
        <f t="shared" si="240"/>
        <v>46007190</v>
      </c>
      <c r="BN26" s="39">
        <f t="shared" si="240"/>
        <v>50306640</v>
      </c>
      <c r="BO26" t="s">
        <v>0</v>
      </c>
    </row>
    <row r="27" spans="1:67" ht="14.55" customHeight="1" x14ac:dyDescent="0.3">
      <c r="C27" s="25" t="s">
        <v>19</v>
      </c>
      <c r="H27" s="52">
        <f>H26/G26-1</f>
        <v>0.99050445103857565</v>
      </c>
      <c r="I27" s="52">
        <f t="shared" ref="I27" si="241">I26/H26-1</f>
        <v>0.50357781753130593</v>
      </c>
      <c r="J27" s="52">
        <f t="shared" ref="J27" si="242">J26/I26-1</f>
        <v>0.33888558397779089</v>
      </c>
      <c r="K27" s="52">
        <f t="shared" ref="K27" si="243">K26/J26-1</f>
        <v>0.26125592417061605</v>
      </c>
      <c r="L27" s="52">
        <f t="shared" ref="L27" si="244">L26/K26-1</f>
        <v>0.21500704556129646</v>
      </c>
      <c r="M27" s="52">
        <f t="shared" ref="M27" si="245">M26/L26-1</f>
        <v>0.18575432492509902</v>
      </c>
      <c r="N27" s="52">
        <f t="shared" ref="N27" si="246">N26/M26-1</f>
        <v>0.16496862009943758</v>
      </c>
      <c r="O27" s="52">
        <f t="shared" ref="O27" si="247">O26/N26-1</f>
        <v>0.15042328412509609</v>
      </c>
      <c r="P27" s="52">
        <f t="shared" ref="P27" si="248">P26/O26-1</f>
        <v>0.13908654138539189</v>
      </c>
      <c r="Q27" s="52">
        <f t="shared" ref="Q27" si="249">Q26/P26-1</f>
        <v>0.13005872931126539</v>
      </c>
      <c r="R27" s="52">
        <f t="shared" ref="R27" si="250">R26/Q26-1</f>
        <v>0.12321647925918922</v>
      </c>
      <c r="S27" s="52">
        <f t="shared" ref="S27" si="251">S26/R26-1</f>
        <v>0.10965760915285605</v>
      </c>
      <c r="T27" s="52">
        <f t="shared" ref="T27" si="252">T26/S26-1</f>
        <v>0.10628861680755097</v>
      </c>
      <c r="U27" s="52">
        <f t="shared" ref="U27" si="253">U26/T26-1</f>
        <v>0.10361487065273267</v>
      </c>
      <c r="V27" s="52">
        <f t="shared" ref="V27" si="254">V26/U26-1</f>
        <v>0.10180384364618589</v>
      </c>
      <c r="W27" s="52">
        <f t="shared" ref="W27" si="255">W26/V26-1</f>
        <v>9.9921100090171411E-2</v>
      </c>
      <c r="X27" s="52">
        <f t="shared" ref="X27" si="256">X26/W26-1</f>
        <v>9.8298918891223108E-2</v>
      </c>
      <c r="Y27" s="52">
        <f t="shared" ref="Y27" si="257">Y26/X26-1</f>
        <v>9.7105269296260843E-2</v>
      </c>
      <c r="Z27" s="52">
        <f t="shared" ref="Z27" si="258">Z26/Y26-1</f>
        <v>9.6185737976782759E-2</v>
      </c>
      <c r="AA27" s="52">
        <f t="shared" ref="AA27" si="259">AA26/Z26-1</f>
        <v>9.519376236471544E-2</v>
      </c>
      <c r="AB27" s="52">
        <f t="shared" ref="AB27" si="260">AB26/AA26-1</f>
        <v>9.47649913222115E-2</v>
      </c>
      <c r="AC27" s="52">
        <f t="shared" ref="AC27" si="261">AC26/AB26-1</f>
        <v>9.4116505168481135E-2</v>
      </c>
      <c r="AD27" s="52">
        <f t="shared" ref="AD27" si="262">AD26/AC26-1</f>
        <v>9.3265321209432983E-2</v>
      </c>
      <c r="BO27" t="s">
        <v>0</v>
      </c>
    </row>
    <row r="28" spans="1:67" ht="3" customHeight="1" x14ac:dyDescent="0.3">
      <c r="C28" s="25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BO28" t="s">
        <v>0</v>
      </c>
    </row>
    <row r="29" spans="1:67" ht="14.4" customHeight="1" x14ac:dyDescent="0.3">
      <c r="A29" s="22" t="s">
        <v>0</v>
      </c>
      <c r="B29" s="22" t="s">
        <v>0</v>
      </c>
      <c r="C29" s="4" t="s">
        <v>169</v>
      </c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BO29" t="s">
        <v>0</v>
      </c>
    </row>
    <row r="30" spans="1:67" ht="3" customHeight="1" x14ac:dyDescent="0.3">
      <c r="C30" s="25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BO30" t="s">
        <v>0</v>
      </c>
    </row>
    <row r="31" spans="1:67" ht="14.4" customHeight="1" x14ac:dyDescent="0.3">
      <c r="C31" t="s">
        <v>25</v>
      </c>
      <c r="G31" s="62">
        <f>'Subscribers &amp; Revenue'!G19</f>
        <v>90</v>
      </c>
      <c r="H31" s="62">
        <f>'Subscribers &amp; Revenue'!H19</f>
        <v>175</v>
      </c>
      <c r="I31" s="62">
        <f>'Subscribers &amp; Revenue'!I19</f>
        <v>258</v>
      </c>
      <c r="J31" s="62">
        <f>'Subscribers &amp; Revenue'!J19</f>
        <v>339</v>
      </c>
      <c r="K31" s="62">
        <f>'Subscribers &amp; Revenue'!K19</f>
        <v>420</v>
      </c>
      <c r="L31" s="62">
        <f>'Subscribers &amp; Revenue'!L19</f>
        <v>502</v>
      </c>
      <c r="M31" s="62">
        <f>'Subscribers &amp; Revenue'!M19</f>
        <v>587</v>
      </c>
      <c r="N31" s="62">
        <f>'Subscribers &amp; Revenue'!N19</f>
        <v>675</v>
      </c>
      <c r="O31" s="62">
        <f>'Subscribers &amp; Revenue'!O19</f>
        <v>768</v>
      </c>
      <c r="P31" s="62">
        <f>'Subscribers &amp; Revenue'!P19</f>
        <v>866</v>
      </c>
      <c r="Q31" s="62">
        <f>'Subscribers &amp; Revenue'!Q19</f>
        <v>970</v>
      </c>
      <c r="R31" s="62">
        <f>'Subscribers &amp; Revenue'!R19</f>
        <v>1081</v>
      </c>
      <c r="S31" s="62">
        <f>'Subscribers &amp; Revenue'!S19</f>
        <v>1202</v>
      </c>
      <c r="T31" s="62">
        <f>'Subscribers &amp; Revenue'!T19</f>
        <v>1333</v>
      </c>
      <c r="U31" s="62">
        <f>'Subscribers &amp; Revenue'!U19</f>
        <v>1475</v>
      </c>
      <c r="V31" s="62">
        <f>'Subscribers &amp; Revenue'!V19</f>
        <v>1630</v>
      </c>
      <c r="W31" s="62">
        <f>'Subscribers &amp; Revenue'!W19</f>
        <v>1799</v>
      </c>
      <c r="X31" s="62">
        <f>'Subscribers &amp; Revenue'!X19</f>
        <v>1984</v>
      </c>
      <c r="Y31" s="62">
        <f>'Subscribers &amp; Revenue'!Y19</f>
        <v>2187</v>
      </c>
      <c r="Z31" s="62">
        <f>'Subscribers &amp; Revenue'!Z19</f>
        <v>2410</v>
      </c>
      <c r="AA31" s="62">
        <f>'Subscribers &amp; Revenue'!AA19</f>
        <v>2654</v>
      </c>
      <c r="AB31" s="62">
        <f>'Subscribers &amp; Revenue'!AB19</f>
        <v>2923</v>
      </c>
      <c r="AC31" s="62">
        <f>'Subscribers &amp; Revenue'!AC19</f>
        <v>3219</v>
      </c>
      <c r="AD31" s="62">
        <f>'Subscribers &amp; Revenue'!AD19</f>
        <v>3543</v>
      </c>
      <c r="AE31" s="62">
        <f>'Subscribers &amp; Revenue'!AE19</f>
        <v>3900</v>
      </c>
      <c r="AF31" s="62">
        <f>'Subscribers &amp; Revenue'!AF19</f>
        <v>4292</v>
      </c>
      <c r="AG31" s="62">
        <f>'Subscribers &amp; Revenue'!AG19</f>
        <v>4723</v>
      </c>
      <c r="AH31" s="62">
        <f>'Subscribers &amp; Revenue'!AH19</f>
        <v>5198</v>
      </c>
      <c r="AI31" s="62">
        <f>'Subscribers &amp; Revenue'!AI19</f>
        <v>5719</v>
      </c>
      <c r="AJ31" s="62">
        <f>'Subscribers &amp; Revenue'!AJ19</f>
        <v>6292</v>
      </c>
      <c r="AK31" s="62">
        <f>'Subscribers &amp; Revenue'!AK19</f>
        <v>6922</v>
      </c>
      <c r="AL31" s="62">
        <f>'Subscribers &amp; Revenue'!AL19</f>
        <v>7615</v>
      </c>
      <c r="AM31" s="62">
        <f>'Subscribers &amp; Revenue'!AM19</f>
        <v>8377</v>
      </c>
      <c r="AN31" s="62">
        <f>'Subscribers &amp; Revenue'!AN19</f>
        <v>9214</v>
      </c>
      <c r="AO31" s="62">
        <f>'Subscribers &amp; Revenue'!AO19</f>
        <v>10135</v>
      </c>
      <c r="AP31" s="62">
        <f>'Subscribers &amp; Revenue'!AP19</f>
        <v>11148</v>
      </c>
      <c r="AQ31" s="62">
        <f>'Subscribers &amp; Revenue'!AQ19</f>
        <v>12262</v>
      </c>
      <c r="AR31" s="62">
        <f>'Subscribers &amp; Revenue'!AR19</f>
        <v>13488</v>
      </c>
      <c r="AS31" s="62">
        <f>'Subscribers &amp; Revenue'!AS19</f>
        <v>14837</v>
      </c>
      <c r="AT31" s="62">
        <f>'Subscribers &amp; Revenue'!AT19</f>
        <v>16320</v>
      </c>
      <c r="AU31" s="62">
        <f>'Subscribers &amp; Revenue'!AU19</f>
        <v>17952</v>
      </c>
      <c r="AV31" s="62">
        <f>'Subscribers &amp; Revenue'!AV19</f>
        <v>19747</v>
      </c>
      <c r="AW31" s="62">
        <f>'Subscribers &amp; Revenue'!AW19</f>
        <v>21722</v>
      </c>
      <c r="AX31" s="62">
        <f>'Subscribers &amp; Revenue'!AX19</f>
        <v>23895</v>
      </c>
      <c r="AY31" s="62">
        <f>'Subscribers &amp; Revenue'!AY19</f>
        <v>26285</v>
      </c>
      <c r="AZ31" s="62">
        <f>'Subscribers &amp; Revenue'!AZ19</f>
        <v>28913</v>
      </c>
      <c r="BA31" s="62">
        <f>'Subscribers &amp; Revenue'!BA19</f>
        <v>31804</v>
      </c>
      <c r="BB31" s="62">
        <f>'Subscribers &amp; Revenue'!BB19</f>
        <v>34984</v>
      </c>
      <c r="BC31" s="62">
        <f>'Subscribers &amp; Revenue'!BC19</f>
        <v>38482</v>
      </c>
      <c r="BD31" s="62">
        <f>'Subscribers &amp; Revenue'!BD19</f>
        <v>42331</v>
      </c>
      <c r="BE31" s="62">
        <f>'Subscribers &amp; Revenue'!BE19</f>
        <v>46564</v>
      </c>
      <c r="BF31" s="62">
        <f>'Subscribers &amp; Revenue'!BF19</f>
        <v>51220</v>
      </c>
      <c r="BG31" s="62">
        <f>'Subscribers &amp; Revenue'!BG19</f>
        <v>56342</v>
      </c>
      <c r="BH31" s="62">
        <f>'Subscribers &amp; Revenue'!BH19</f>
        <v>61977</v>
      </c>
      <c r="BI31" s="62">
        <f>'Subscribers &amp; Revenue'!BI19</f>
        <v>68175</v>
      </c>
      <c r="BJ31" s="62">
        <f>'Subscribers &amp; Revenue'!BJ19</f>
        <v>74994</v>
      </c>
      <c r="BK31" s="62">
        <f>'Subscribers &amp; Revenue'!BK19</f>
        <v>82495</v>
      </c>
      <c r="BL31" s="62">
        <f>'Subscribers &amp; Revenue'!BL19</f>
        <v>90746</v>
      </c>
      <c r="BM31" s="62">
        <f>'Subscribers &amp; Revenue'!BM19</f>
        <v>99822</v>
      </c>
      <c r="BN31" s="62">
        <f>'Subscribers &amp; Revenue'!BN19</f>
        <v>109806</v>
      </c>
      <c r="BO31" t="s">
        <v>0</v>
      </c>
    </row>
    <row r="32" spans="1:67" ht="14.4" customHeight="1" x14ac:dyDescent="0.3">
      <c r="G32" s="62"/>
      <c r="H32" s="83">
        <f>H31/G31-1</f>
        <v>0.94444444444444442</v>
      </c>
      <c r="I32" s="83">
        <f t="shared" ref="I32:AD32" si="263">I31/H31-1</f>
        <v>0.4742857142857142</v>
      </c>
      <c r="J32" s="83">
        <f t="shared" si="263"/>
        <v>0.31395348837209291</v>
      </c>
      <c r="K32" s="83">
        <f t="shared" si="263"/>
        <v>0.23893805309734506</v>
      </c>
      <c r="L32" s="83">
        <f t="shared" si="263"/>
        <v>0.19523809523809521</v>
      </c>
      <c r="M32" s="83">
        <f t="shared" si="263"/>
        <v>0.16932270916334669</v>
      </c>
      <c r="N32" s="83">
        <f t="shared" si="263"/>
        <v>0.14991482112436105</v>
      </c>
      <c r="O32" s="83">
        <f t="shared" si="263"/>
        <v>0.13777777777777778</v>
      </c>
      <c r="P32" s="83">
        <f t="shared" si="263"/>
        <v>0.12760416666666674</v>
      </c>
      <c r="Q32" s="83">
        <f t="shared" si="263"/>
        <v>0.12009237875288692</v>
      </c>
      <c r="R32" s="83">
        <f t="shared" si="263"/>
        <v>0.11443298969072169</v>
      </c>
      <c r="S32" s="83">
        <f t="shared" si="263"/>
        <v>0.11193339500462529</v>
      </c>
      <c r="T32" s="83">
        <f t="shared" si="263"/>
        <v>0.10898502495840257</v>
      </c>
      <c r="U32" s="83">
        <f t="shared" si="263"/>
        <v>0.10652663165791454</v>
      </c>
      <c r="V32" s="83">
        <f t="shared" si="263"/>
        <v>0.10508474576271176</v>
      </c>
      <c r="W32" s="83">
        <f t="shared" si="263"/>
        <v>0.10368098159509209</v>
      </c>
      <c r="X32" s="83">
        <f t="shared" si="263"/>
        <v>0.10283490828237918</v>
      </c>
      <c r="Y32" s="83">
        <f t="shared" si="263"/>
        <v>0.10231854838709675</v>
      </c>
      <c r="Z32" s="83">
        <f t="shared" si="263"/>
        <v>0.1019661636945588</v>
      </c>
      <c r="AA32" s="83">
        <f t="shared" si="263"/>
        <v>0.10124481327800838</v>
      </c>
      <c r="AB32" s="83">
        <f t="shared" si="263"/>
        <v>0.10135644310474756</v>
      </c>
      <c r="AC32" s="83">
        <f t="shared" si="263"/>
        <v>0.10126582278481022</v>
      </c>
      <c r="AD32" s="83">
        <f t="shared" si="263"/>
        <v>0.10065237651444559</v>
      </c>
      <c r="AE32" s="83">
        <f t="shared" ref="AE32" si="264">AE31/AD31-1</f>
        <v>0.10076206604572402</v>
      </c>
      <c r="AF32" s="83">
        <f t="shared" ref="AF32" si="265">AF31/AE31-1</f>
        <v>0.10051282051282051</v>
      </c>
      <c r="AG32" s="83">
        <f t="shared" ref="AG32" si="266">AG31/AF31-1</f>
        <v>0.10041938490214353</v>
      </c>
      <c r="AH32" s="83">
        <f t="shared" ref="AH32" si="267">AH31/AG31-1</f>
        <v>0.10057167054838034</v>
      </c>
      <c r="AI32" s="83">
        <f t="shared" ref="AI32" si="268">AI31/AH31-1</f>
        <v>0.10023085802231635</v>
      </c>
      <c r="AJ32" s="83">
        <f t="shared" ref="AJ32" si="269">AJ31/AI31-1</f>
        <v>0.10019234131841226</v>
      </c>
      <c r="AK32" s="83">
        <f t="shared" ref="AK32" si="270">AK31/AJ31-1</f>
        <v>0.100127145581691</v>
      </c>
      <c r="AL32" s="83">
        <f t="shared" ref="AL32" si="271">AL31/AK31-1</f>
        <v>0.10011557353366074</v>
      </c>
      <c r="AM32" s="83">
        <f t="shared" ref="AM32" si="272">AM31/AL31-1</f>
        <v>0.10006565988181215</v>
      </c>
      <c r="AN32" s="83">
        <f t="shared" ref="AN32" si="273">AN31/AM31-1</f>
        <v>9.9916437865584351E-2</v>
      </c>
      <c r="AO32" s="83">
        <f t="shared" ref="AO32" si="274">AO31/AN31-1</f>
        <v>9.9956587801172114E-2</v>
      </c>
      <c r="AP32" s="83">
        <f t="shared" ref="AP32" si="275">AP31/AO31-1</f>
        <v>9.9950666008880029E-2</v>
      </c>
      <c r="AQ32" s="83">
        <f t="shared" ref="AQ32" si="276">AQ31/AP31-1</f>
        <v>9.9928238249013202E-2</v>
      </c>
      <c r="AR32" s="83">
        <f t="shared" ref="AR32" si="277">AR31/AQ31-1</f>
        <v>9.9983689447072255E-2</v>
      </c>
      <c r="AS32" s="83">
        <f t="shared" ref="AS32" si="278">AS31/AR31-1</f>
        <v>0.10001482799525507</v>
      </c>
      <c r="AT32" s="83">
        <f t="shared" ref="AT32" si="279">AT31/AS31-1</f>
        <v>9.9952820651074914E-2</v>
      </c>
      <c r="AU32" s="83">
        <f t="shared" ref="AU32" si="280">AU31/AT31-1</f>
        <v>0.10000000000000009</v>
      </c>
      <c r="AV32" s="83">
        <f t="shared" ref="AV32" si="281">AV31/AU31-1</f>
        <v>9.998885918003575E-2</v>
      </c>
      <c r="AW32" s="83">
        <f t="shared" ref="AW32" si="282">AW31/AV31-1</f>
        <v>0.10001519218109078</v>
      </c>
      <c r="AX32" s="83">
        <f t="shared" ref="AX32" si="283">AX31/AW31-1</f>
        <v>0.10003682902126876</v>
      </c>
      <c r="AY32" s="83">
        <f t="shared" ref="AY32" si="284">AY31/AX31-1</f>
        <v>0.10002092487968195</v>
      </c>
      <c r="AZ32" s="83">
        <f t="shared" ref="AZ32" si="285">AZ31/AY31-1</f>
        <v>9.998097774396042E-2</v>
      </c>
      <c r="BA32" s="83">
        <f t="shared" ref="BA32" si="286">BA31/AZ31-1</f>
        <v>9.9989624044547476E-2</v>
      </c>
      <c r="BB32" s="83">
        <f t="shared" ref="BB32" si="287">BB31/BA31-1</f>
        <v>9.9987422965664763E-2</v>
      </c>
      <c r="BC32" s="83">
        <f t="shared" ref="BC32" si="288">BC31/BB31-1</f>
        <v>9.9988566201692164E-2</v>
      </c>
      <c r="BD32" s="83">
        <f t="shared" ref="BD32" si="289">BD31/BC31-1</f>
        <v>0.10002078894028377</v>
      </c>
      <c r="BE32" s="83">
        <f t="shared" ref="BE32" si="290">BE31/BD31-1</f>
        <v>9.9997637665068195E-2</v>
      </c>
      <c r="BF32" s="83">
        <f t="shared" ref="BF32" si="291">BF31/BE31-1</f>
        <v>9.9991409672708587E-2</v>
      </c>
      <c r="BG32" s="83">
        <f t="shared" ref="BG32" si="292">BG31/BF31-1</f>
        <v>0.10000000000000009</v>
      </c>
      <c r="BH32" s="83">
        <f t="shared" ref="BH32" si="293">BH31/BG31-1</f>
        <v>0.10001419899897068</v>
      </c>
      <c r="BI32" s="83">
        <f t="shared" ref="BI32" si="294">BI31/BH31-1</f>
        <v>0.10000484050534886</v>
      </c>
      <c r="BJ32" s="83">
        <f t="shared" ref="BJ32" si="295">BJ31/BI31-1</f>
        <v>0.10002200220022006</v>
      </c>
      <c r="BK32" s="83">
        <f t="shared" ref="BK32" si="296">BK31/BJ31-1</f>
        <v>0.10002133504013644</v>
      </c>
      <c r="BL32" s="83">
        <f t="shared" ref="BL32" si="297">BL31/BK31-1</f>
        <v>0.10001818292017695</v>
      </c>
      <c r="BM32" s="83">
        <f t="shared" ref="BM32" si="298">BM31/BL31-1</f>
        <v>0.10001542767725291</v>
      </c>
      <c r="BN32" s="83">
        <f t="shared" ref="BN32" si="299">BN31/BM31-1</f>
        <v>0.10001803209713289</v>
      </c>
      <c r="BO32" t="s">
        <v>0</v>
      </c>
    </row>
    <row r="33" spans="2:67" ht="14.4" customHeight="1" x14ac:dyDescent="0.3">
      <c r="C33" t="s">
        <v>28</v>
      </c>
      <c r="G33" s="62">
        <f>'Subscribers &amp; Revenue'!G29</f>
        <v>55</v>
      </c>
      <c r="H33" s="62">
        <f>'Subscribers &amp; Revenue'!H29</f>
        <v>114</v>
      </c>
      <c r="I33" s="62">
        <f>'Subscribers &amp; Revenue'!I29</f>
        <v>177</v>
      </c>
      <c r="J33" s="62">
        <f>'Subscribers &amp; Revenue'!J29</f>
        <v>244</v>
      </c>
      <c r="K33" s="62">
        <f>'Subscribers &amp; Revenue'!K29</f>
        <v>316</v>
      </c>
      <c r="L33" s="62">
        <f>'Subscribers &amp; Revenue'!L29</f>
        <v>393</v>
      </c>
      <c r="M33" s="62">
        <f>'Subscribers &amp; Revenue'!M29</f>
        <v>475</v>
      </c>
      <c r="N33" s="62">
        <f>'Subscribers &amp; Revenue'!N29</f>
        <v>563</v>
      </c>
      <c r="O33" s="62">
        <f>'Subscribers &amp; Revenue'!O29</f>
        <v>657</v>
      </c>
      <c r="P33" s="62">
        <f>'Subscribers &amp; Revenue'!P29</f>
        <v>758</v>
      </c>
      <c r="Q33" s="62">
        <f>'Subscribers &amp; Revenue'!Q29</f>
        <v>866</v>
      </c>
      <c r="R33" s="62">
        <f>'Subscribers &amp; Revenue'!R29</f>
        <v>982</v>
      </c>
      <c r="S33" s="62">
        <f>'Subscribers &amp; Revenue'!S29</f>
        <v>1087</v>
      </c>
      <c r="T33" s="62">
        <f>'Subscribers &amp; Revenue'!T29</f>
        <v>1199</v>
      </c>
      <c r="U33" s="62">
        <f>'Subscribers &amp; Revenue'!U29</f>
        <v>1319</v>
      </c>
      <c r="V33" s="62">
        <f>'Subscribers &amp; Revenue'!V29</f>
        <v>1448</v>
      </c>
      <c r="W33" s="62">
        <f>'Subscribers &amp; Revenue'!W29</f>
        <v>1586</v>
      </c>
      <c r="X33" s="62">
        <f>'Subscribers &amp; Revenue'!X29</f>
        <v>1733</v>
      </c>
      <c r="Y33" s="62">
        <f>'Subscribers &amp; Revenue'!Y29</f>
        <v>1890</v>
      </c>
      <c r="Z33" s="62">
        <f>'Subscribers &amp; Revenue'!Z29</f>
        <v>2058</v>
      </c>
      <c r="AA33" s="62">
        <f>'Subscribers &amp; Revenue'!AA29</f>
        <v>2238</v>
      </c>
      <c r="AB33" s="62">
        <f>'Subscribers &amp; Revenue'!AB29</f>
        <v>2431</v>
      </c>
      <c r="AC33" s="62">
        <f>'Subscribers &amp; Revenue'!AC29</f>
        <v>2637</v>
      </c>
      <c r="AD33" s="62">
        <f>'Subscribers &amp; Revenue'!AD29</f>
        <v>2857</v>
      </c>
      <c r="AE33" s="62">
        <f>'Subscribers &amp; Revenue'!AE29</f>
        <v>3093</v>
      </c>
      <c r="AF33" s="62">
        <f>'Subscribers &amp; Revenue'!AF29</f>
        <v>3345</v>
      </c>
      <c r="AG33" s="62">
        <f>'Subscribers &amp; Revenue'!AG29</f>
        <v>3615</v>
      </c>
      <c r="AH33" s="62">
        <f>'Subscribers &amp; Revenue'!AH29</f>
        <v>3904</v>
      </c>
      <c r="AI33" s="62">
        <f>'Subscribers &amp; Revenue'!AI29</f>
        <v>4213</v>
      </c>
      <c r="AJ33" s="62">
        <f>'Subscribers &amp; Revenue'!AJ29</f>
        <v>4544</v>
      </c>
      <c r="AK33" s="62">
        <f>'Subscribers &amp; Revenue'!AK29</f>
        <v>4898</v>
      </c>
      <c r="AL33" s="62">
        <f>'Subscribers &amp; Revenue'!AL29</f>
        <v>5276</v>
      </c>
      <c r="AM33" s="62">
        <f>'Subscribers &amp; Revenue'!AM29</f>
        <v>5680</v>
      </c>
      <c r="AN33" s="62">
        <f>'Subscribers &amp; Revenue'!AN29</f>
        <v>6113</v>
      </c>
      <c r="AO33" s="62">
        <f>'Subscribers &amp; Revenue'!AO29</f>
        <v>6577</v>
      </c>
      <c r="AP33" s="62">
        <f>'Subscribers &amp; Revenue'!AP29</f>
        <v>7073</v>
      </c>
      <c r="AQ33" s="62">
        <f>'Subscribers &amp; Revenue'!AQ29</f>
        <v>7603</v>
      </c>
      <c r="AR33" s="62">
        <f>'Subscribers &amp; Revenue'!AR29</f>
        <v>8170</v>
      </c>
      <c r="AS33" s="62">
        <f>'Subscribers &amp; Revenue'!AS29</f>
        <v>8777</v>
      </c>
      <c r="AT33" s="62">
        <f>'Subscribers &amp; Revenue'!AT29</f>
        <v>9426</v>
      </c>
      <c r="AU33" s="62">
        <f>'Subscribers &amp; Revenue'!AU29</f>
        <v>10121</v>
      </c>
      <c r="AV33" s="62">
        <f>'Subscribers &amp; Revenue'!AV29</f>
        <v>10865</v>
      </c>
      <c r="AW33" s="62">
        <f>'Subscribers &amp; Revenue'!AW29</f>
        <v>11661</v>
      </c>
      <c r="AX33" s="62">
        <f>'Subscribers &amp; Revenue'!AX29</f>
        <v>12513</v>
      </c>
      <c r="AY33" s="62">
        <f>'Subscribers &amp; Revenue'!AY29</f>
        <v>13425</v>
      </c>
      <c r="AZ33" s="62">
        <f>'Subscribers &amp; Revenue'!AZ29</f>
        <v>14401</v>
      </c>
      <c r="BA33" s="62">
        <f>'Subscribers &amp; Revenue'!BA29</f>
        <v>15446</v>
      </c>
      <c r="BB33" s="62">
        <f>'Subscribers &amp; Revenue'!BB29</f>
        <v>16565</v>
      </c>
      <c r="BC33" s="62">
        <f>'Subscribers &amp; Revenue'!BC29</f>
        <v>17762</v>
      </c>
      <c r="BD33" s="62">
        <f>'Subscribers &amp; Revenue'!BD29</f>
        <v>19043</v>
      </c>
      <c r="BE33" s="62">
        <f>'Subscribers &amp; Revenue'!BE29</f>
        <v>20413</v>
      </c>
      <c r="BF33" s="62">
        <f>'Subscribers &amp; Revenue'!BF29</f>
        <v>21880</v>
      </c>
      <c r="BG33" s="62">
        <f>'Subscribers &amp; Revenue'!BG29</f>
        <v>23450</v>
      </c>
      <c r="BH33" s="62">
        <f>'Subscribers &amp; Revenue'!BH29</f>
        <v>25130</v>
      </c>
      <c r="BI33" s="62">
        <f>'Subscribers &amp; Revenue'!BI29</f>
        <v>26927</v>
      </c>
      <c r="BJ33" s="62">
        <f>'Subscribers &amp; Revenue'!BJ29</f>
        <v>28850</v>
      </c>
      <c r="BK33" s="62">
        <f>'Subscribers &amp; Revenue'!BK29</f>
        <v>30907</v>
      </c>
      <c r="BL33" s="62">
        <f>'Subscribers &amp; Revenue'!BL29</f>
        <v>33107</v>
      </c>
      <c r="BM33" s="62">
        <f>'Subscribers &amp; Revenue'!BM29</f>
        <v>35461</v>
      </c>
      <c r="BN33" s="62">
        <f>'Subscribers &amp; Revenue'!BN29</f>
        <v>37980</v>
      </c>
      <c r="BO33" t="s">
        <v>0</v>
      </c>
    </row>
    <row r="34" spans="2:67" ht="14.4" customHeight="1" x14ac:dyDescent="0.3">
      <c r="G34" s="62"/>
      <c r="H34" s="83">
        <f>H33/G33-1</f>
        <v>1.0727272727272728</v>
      </c>
      <c r="I34" s="83">
        <f t="shared" ref="I34:AD34" si="300">I33/H33-1</f>
        <v>0.55263157894736836</v>
      </c>
      <c r="J34" s="83">
        <f t="shared" si="300"/>
        <v>0.37853107344632764</v>
      </c>
      <c r="K34" s="83">
        <f t="shared" si="300"/>
        <v>0.29508196721311486</v>
      </c>
      <c r="L34" s="83">
        <f t="shared" si="300"/>
        <v>0.24367088607594933</v>
      </c>
      <c r="M34" s="83">
        <f t="shared" si="300"/>
        <v>0.20865139949109412</v>
      </c>
      <c r="N34" s="83">
        <f t="shared" si="300"/>
        <v>0.1852631578947368</v>
      </c>
      <c r="O34" s="83">
        <f t="shared" si="300"/>
        <v>0.1669626998223801</v>
      </c>
      <c r="P34" s="83">
        <f t="shared" si="300"/>
        <v>0.15372907153729076</v>
      </c>
      <c r="Q34" s="83">
        <f t="shared" si="300"/>
        <v>0.14248021108179421</v>
      </c>
      <c r="R34" s="83">
        <f t="shared" si="300"/>
        <v>0.13394919168591235</v>
      </c>
      <c r="S34" s="83">
        <f t="shared" si="300"/>
        <v>0.10692464358452147</v>
      </c>
      <c r="T34" s="83">
        <f t="shared" si="300"/>
        <v>0.1030358785648573</v>
      </c>
      <c r="U34" s="83">
        <f t="shared" si="300"/>
        <v>0.1000834028356965</v>
      </c>
      <c r="V34" s="83">
        <f t="shared" si="300"/>
        <v>9.7801364670204727E-2</v>
      </c>
      <c r="W34" s="83">
        <f t="shared" si="300"/>
        <v>9.5303867403314868E-2</v>
      </c>
      <c r="X34" s="83">
        <f t="shared" si="300"/>
        <v>9.2686002522068156E-2</v>
      </c>
      <c r="Y34" s="83">
        <f t="shared" si="300"/>
        <v>9.0594345066358883E-2</v>
      </c>
      <c r="Z34" s="83">
        <f t="shared" si="300"/>
        <v>8.8888888888888795E-2</v>
      </c>
      <c r="AA34" s="83">
        <f t="shared" si="300"/>
        <v>8.7463556851312019E-2</v>
      </c>
      <c r="AB34" s="83">
        <f t="shared" si="300"/>
        <v>8.6237712243074194E-2</v>
      </c>
      <c r="AC34" s="83">
        <f t="shared" si="300"/>
        <v>8.4738790621143645E-2</v>
      </c>
      <c r="AD34" s="83">
        <f t="shared" si="300"/>
        <v>8.3428138035646526E-2</v>
      </c>
      <c r="AE34" s="83">
        <f t="shared" ref="AE34" si="301">AE33/AD33-1</f>
        <v>8.2604130206510362E-2</v>
      </c>
      <c r="AF34" s="83">
        <f t="shared" ref="AF34" si="302">AF33/AE33-1</f>
        <v>8.1474296799224133E-2</v>
      </c>
      <c r="AG34" s="83">
        <f t="shared" ref="AG34" si="303">AG33/AF33-1</f>
        <v>8.0717488789237679E-2</v>
      </c>
      <c r="AH34" s="83">
        <f t="shared" ref="AH34" si="304">AH33/AG33-1</f>
        <v>7.9944674965421791E-2</v>
      </c>
      <c r="AI34" s="83">
        <f t="shared" ref="AI34" si="305">AI33/AH33-1</f>
        <v>7.9149590163934525E-2</v>
      </c>
      <c r="AJ34" s="83">
        <f t="shared" ref="AJ34" si="306">AJ33/AI33-1</f>
        <v>7.8566342273914014E-2</v>
      </c>
      <c r="AK34" s="83">
        <f t="shared" ref="AK34" si="307">AK33/AJ33-1</f>
        <v>7.7904929577464754E-2</v>
      </c>
      <c r="AL34" s="83">
        <f t="shared" ref="AL34" si="308">AL33/AK33-1</f>
        <v>7.717435688035934E-2</v>
      </c>
      <c r="AM34" s="83">
        <f t="shared" ref="AM34" si="309">AM33/AL33-1</f>
        <v>7.6573161485974151E-2</v>
      </c>
      <c r="AN34" s="83">
        <f t="shared" ref="AN34" si="310">AN33/AM33-1</f>
        <v>7.6232394366197109E-2</v>
      </c>
      <c r="AO34" s="83">
        <f t="shared" ref="AO34" si="311">AO33/AN33-1</f>
        <v>7.5903811549157485E-2</v>
      </c>
      <c r="AP34" s="83">
        <f t="shared" ref="AP34" si="312">AP33/AO33-1</f>
        <v>7.5414322639501208E-2</v>
      </c>
      <c r="AQ34" s="83">
        <f t="shared" ref="AQ34" si="313">AQ33/AP33-1</f>
        <v>7.4932843206560129E-2</v>
      </c>
      <c r="AR34" s="83">
        <f t="shared" ref="AR34" si="314">AR33/AQ33-1</f>
        <v>7.4575825332105827E-2</v>
      </c>
      <c r="AS34" s="83">
        <f t="shared" ref="AS34" si="315">AS33/AR33-1</f>
        <v>7.4296205630354883E-2</v>
      </c>
      <c r="AT34" s="83">
        <f t="shared" ref="AT34" si="316">AT33/AS33-1</f>
        <v>7.3943260795260368E-2</v>
      </c>
      <c r="AU34" s="83">
        <f t="shared" ref="AU34" si="317">AU33/AT33-1</f>
        <v>7.3732230002121701E-2</v>
      </c>
      <c r="AV34" s="83">
        <f t="shared" ref="AV34" si="318">AV33/AU33-1</f>
        <v>7.3510522675624967E-2</v>
      </c>
      <c r="AW34" s="83">
        <f t="shared" ref="AW34" si="319">AW33/AV33-1</f>
        <v>7.3262770363552665E-2</v>
      </c>
      <c r="AX34" s="83">
        <f t="shared" ref="AX34" si="320">AX33/AW33-1</f>
        <v>7.3064059686133165E-2</v>
      </c>
      <c r="AY34" s="83">
        <f t="shared" ref="AY34" si="321">AY33/AX33-1</f>
        <v>7.2884200431551083E-2</v>
      </c>
      <c r="AZ34" s="83">
        <f t="shared" ref="AZ34" si="322">AZ33/AY33-1</f>
        <v>7.2700186219739393E-2</v>
      </c>
      <c r="BA34" s="83">
        <f t="shared" ref="BA34" si="323">BA33/AZ33-1</f>
        <v>7.2564405249635477E-2</v>
      </c>
      <c r="BB34" s="83">
        <f t="shared" ref="BB34" si="324">BB33/BA33-1</f>
        <v>7.244594069662047E-2</v>
      </c>
      <c r="BC34" s="83">
        <f t="shared" ref="BC34" si="325">BC33/BB33-1</f>
        <v>7.2260790824026477E-2</v>
      </c>
      <c r="BD34" s="83">
        <f t="shared" ref="BD34" si="326">BD33/BC33-1</f>
        <v>7.2120256727846055E-2</v>
      </c>
      <c r="BE34" s="83">
        <f t="shared" ref="BE34" si="327">BE33/BD33-1</f>
        <v>7.1942446043165464E-2</v>
      </c>
      <c r="BF34" s="83">
        <f t="shared" ref="BF34" si="328">BF33/BE33-1</f>
        <v>7.1865967765639471E-2</v>
      </c>
      <c r="BG34" s="83">
        <f t="shared" ref="BG34" si="329">BG33/BF33-1</f>
        <v>7.1755027422303552E-2</v>
      </c>
      <c r="BH34" s="83">
        <f t="shared" ref="BH34" si="330">BH33/BG33-1</f>
        <v>7.1641791044776193E-2</v>
      </c>
      <c r="BI34" s="83">
        <f t="shared" ref="BI34" si="331">BI33/BH33-1</f>
        <v>7.1508157580580933E-2</v>
      </c>
      <c r="BJ34" s="83">
        <f t="shared" ref="BJ34" si="332">BJ33/BI33-1</f>
        <v>7.141530805511187E-2</v>
      </c>
      <c r="BK34" s="83">
        <f t="shared" ref="BK34" si="333">BK33/BJ33-1</f>
        <v>7.1299826689774637E-2</v>
      </c>
      <c r="BL34" s="83">
        <f t="shared" ref="BL34" si="334">BL33/BK33-1</f>
        <v>7.1181285792862425E-2</v>
      </c>
      <c r="BM34" s="83">
        <f t="shared" ref="BM34" si="335">BM33/BL33-1</f>
        <v>7.1102787930044986E-2</v>
      </c>
      <c r="BN34" s="83">
        <f t="shared" ref="BN34" si="336">BN33/BM33-1</f>
        <v>7.1035785792842754E-2</v>
      </c>
      <c r="BO34" t="s">
        <v>0</v>
      </c>
    </row>
    <row r="35" spans="2:67" ht="14.4" customHeight="1" x14ac:dyDescent="0.3">
      <c r="B35" s="22" t="s">
        <v>0</v>
      </c>
      <c r="C35" s="31" t="s">
        <v>151</v>
      </c>
      <c r="D35" s="31"/>
      <c r="E35" s="31"/>
      <c r="F35" s="31"/>
      <c r="G35" s="33">
        <f>SUM(G31,G33)</f>
        <v>145</v>
      </c>
      <c r="H35" s="33">
        <f t="shared" ref="H35:AD35" si="337">SUM(H31,H33)</f>
        <v>289</v>
      </c>
      <c r="I35" s="33">
        <f t="shared" si="337"/>
        <v>435</v>
      </c>
      <c r="J35" s="33">
        <f t="shared" si="337"/>
        <v>583</v>
      </c>
      <c r="K35" s="33">
        <f t="shared" si="337"/>
        <v>736</v>
      </c>
      <c r="L35" s="33">
        <f t="shared" si="337"/>
        <v>895</v>
      </c>
      <c r="M35" s="33">
        <f t="shared" si="337"/>
        <v>1062</v>
      </c>
      <c r="N35" s="33">
        <f t="shared" si="337"/>
        <v>1238</v>
      </c>
      <c r="O35" s="33">
        <f t="shared" si="337"/>
        <v>1425</v>
      </c>
      <c r="P35" s="33">
        <f t="shared" si="337"/>
        <v>1624</v>
      </c>
      <c r="Q35" s="33">
        <f t="shared" si="337"/>
        <v>1836</v>
      </c>
      <c r="R35" s="33">
        <f t="shared" si="337"/>
        <v>2063</v>
      </c>
      <c r="S35" s="33">
        <f t="shared" si="337"/>
        <v>2289</v>
      </c>
      <c r="T35" s="33">
        <f t="shared" si="337"/>
        <v>2532</v>
      </c>
      <c r="U35" s="33">
        <f t="shared" si="337"/>
        <v>2794</v>
      </c>
      <c r="V35" s="33">
        <f t="shared" si="337"/>
        <v>3078</v>
      </c>
      <c r="W35" s="33">
        <f t="shared" si="337"/>
        <v>3385</v>
      </c>
      <c r="X35" s="33">
        <f t="shared" si="337"/>
        <v>3717</v>
      </c>
      <c r="Y35" s="33">
        <f t="shared" si="337"/>
        <v>4077</v>
      </c>
      <c r="Z35" s="33">
        <f t="shared" si="337"/>
        <v>4468</v>
      </c>
      <c r="AA35" s="33">
        <f t="shared" si="337"/>
        <v>4892</v>
      </c>
      <c r="AB35" s="33">
        <f t="shared" si="337"/>
        <v>5354</v>
      </c>
      <c r="AC35" s="33">
        <f t="shared" si="337"/>
        <v>5856</v>
      </c>
      <c r="AD35" s="33">
        <f t="shared" si="337"/>
        <v>6400</v>
      </c>
      <c r="AE35" s="33">
        <f t="shared" ref="AE35:BN35" si="338">SUM(AE31,AE33)</f>
        <v>6993</v>
      </c>
      <c r="AF35" s="33">
        <f t="shared" si="338"/>
        <v>7637</v>
      </c>
      <c r="AG35" s="33">
        <f t="shared" si="338"/>
        <v>8338</v>
      </c>
      <c r="AH35" s="33">
        <f t="shared" si="338"/>
        <v>9102</v>
      </c>
      <c r="AI35" s="33">
        <f t="shared" si="338"/>
        <v>9932</v>
      </c>
      <c r="AJ35" s="33">
        <f t="shared" si="338"/>
        <v>10836</v>
      </c>
      <c r="AK35" s="33">
        <f t="shared" si="338"/>
        <v>11820</v>
      </c>
      <c r="AL35" s="33">
        <f t="shared" si="338"/>
        <v>12891</v>
      </c>
      <c r="AM35" s="33">
        <f t="shared" si="338"/>
        <v>14057</v>
      </c>
      <c r="AN35" s="33">
        <f t="shared" si="338"/>
        <v>15327</v>
      </c>
      <c r="AO35" s="33">
        <f t="shared" si="338"/>
        <v>16712</v>
      </c>
      <c r="AP35" s="33">
        <f t="shared" si="338"/>
        <v>18221</v>
      </c>
      <c r="AQ35" s="33">
        <f t="shared" si="338"/>
        <v>19865</v>
      </c>
      <c r="AR35" s="33">
        <f t="shared" si="338"/>
        <v>21658</v>
      </c>
      <c r="AS35" s="33">
        <f t="shared" si="338"/>
        <v>23614</v>
      </c>
      <c r="AT35" s="33">
        <f t="shared" si="338"/>
        <v>25746</v>
      </c>
      <c r="AU35" s="33">
        <f t="shared" si="338"/>
        <v>28073</v>
      </c>
      <c r="AV35" s="33">
        <f t="shared" si="338"/>
        <v>30612</v>
      </c>
      <c r="AW35" s="33">
        <f t="shared" si="338"/>
        <v>33383</v>
      </c>
      <c r="AX35" s="33">
        <f t="shared" si="338"/>
        <v>36408</v>
      </c>
      <c r="AY35" s="33">
        <f t="shared" si="338"/>
        <v>39710</v>
      </c>
      <c r="AZ35" s="33">
        <f t="shared" si="338"/>
        <v>43314</v>
      </c>
      <c r="BA35" s="33">
        <f t="shared" si="338"/>
        <v>47250</v>
      </c>
      <c r="BB35" s="33">
        <f t="shared" si="338"/>
        <v>51549</v>
      </c>
      <c r="BC35" s="33">
        <f t="shared" si="338"/>
        <v>56244</v>
      </c>
      <c r="BD35" s="33">
        <f t="shared" si="338"/>
        <v>61374</v>
      </c>
      <c r="BE35" s="33">
        <f t="shared" si="338"/>
        <v>66977</v>
      </c>
      <c r="BF35" s="33">
        <f t="shared" si="338"/>
        <v>73100</v>
      </c>
      <c r="BG35" s="33">
        <f t="shared" si="338"/>
        <v>79792</v>
      </c>
      <c r="BH35" s="33">
        <f t="shared" si="338"/>
        <v>87107</v>
      </c>
      <c r="BI35" s="33">
        <f t="shared" si="338"/>
        <v>95102</v>
      </c>
      <c r="BJ35" s="33">
        <f t="shared" si="338"/>
        <v>103844</v>
      </c>
      <c r="BK35" s="33">
        <f t="shared" si="338"/>
        <v>113402</v>
      </c>
      <c r="BL35" s="33">
        <f t="shared" si="338"/>
        <v>123853</v>
      </c>
      <c r="BM35" s="33">
        <f t="shared" si="338"/>
        <v>135283</v>
      </c>
      <c r="BN35" s="33">
        <f t="shared" si="338"/>
        <v>147786</v>
      </c>
      <c r="BO35" t="s">
        <v>0</v>
      </c>
    </row>
    <row r="36" spans="2:67" ht="14.4" customHeight="1" x14ac:dyDescent="0.3">
      <c r="C36" s="25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t="s">
        <v>0</v>
      </c>
    </row>
    <row r="37" spans="2:67" ht="14.4" customHeight="1" x14ac:dyDescent="0.3">
      <c r="C37" t="s">
        <v>22</v>
      </c>
      <c r="G37" s="62">
        <f>'Detailed Financials'!G18</f>
        <v>90</v>
      </c>
      <c r="H37" s="62">
        <f>'Detailed Financials'!H18</f>
        <v>99</v>
      </c>
      <c r="I37" s="62">
        <f>'Detailed Financials'!I18</f>
        <v>109</v>
      </c>
      <c r="J37" s="62">
        <f>'Detailed Financials'!J18</f>
        <v>120</v>
      </c>
      <c r="K37" s="62">
        <f>'Detailed Financials'!K18</f>
        <v>132</v>
      </c>
      <c r="L37" s="62">
        <f>'Detailed Financials'!L18</f>
        <v>145</v>
      </c>
      <c r="M37" s="62">
        <f>'Detailed Financials'!M18</f>
        <v>160</v>
      </c>
      <c r="N37" s="62">
        <f>'Detailed Financials'!N18</f>
        <v>176</v>
      </c>
      <c r="O37" s="62">
        <f>'Detailed Financials'!O18</f>
        <v>194</v>
      </c>
      <c r="P37" s="62">
        <f>'Detailed Financials'!P18</f>
        <v>213</v>
      </c>
      <c r="Q37" s="62">
        <f>'Detailed Financials'!Q18</f>
        <v>234</v>
      </c>
      <c r="R37" s="62">
        <f>'Detailed Financials'!R18</f>
        <v>257</v>
      </c>
      <c r="S37" s="62">
        <f>'Detailed Financials'!S18</f>
        <v>283</v>
      </c>
      <c r="T37" s="62">
        <f>'Detailed Financials'!T18</f>
        <v>311</v>
      </c>
      <c r="U37" s="62">
        <f>'Detailed Financials'!U18</f>
        <v>342</v>
      </c>
      <c r="V37" s="62">
        <f>'Detailed Financials'!V18</f>
        <v>376</v>
      </c>
      <c r="W37" s="62">
        <f>'Detailed Financials'!W18</f>
        <v>414</v>
      </c>
      <c r="X37" s="62">
        <f>'Detailed Financials'!X18</f>
        <v>455</v>
      </c>
      <c r="Y37" s="62">
        <f>'Detailed Financials'!Y18</f>
        <v>501</v>
      </c>
      <c r="Z37" s="62">
        <f>'Detailed Financials'!Z18</f>
        <v>551</v>
      </c>
      <c r="AA37" s="62">
        <f>'Detailed Financials'!AA18</f>
        <v>606</v>
      </c>
      <c r="AB37" s="62">
        <f>'Detailed Financials'!AB18</f>
        <v>667</v>
      </c>
      <c r="AC37" s="62">
        <f>'Detailed Financials'!AC18</f>
        <v>734</v>
      </c>
      <c r="AD37" s="62">
        <f>'Detailed Financials'!AD18</f>
        <v>807</v>
      </c>
      <c r="AE37" s="62">
        <f>'Detailed Financials'!AE18</f>
        <v>888</v>
      </c>
      <c r="AF37" s="62">
        <f>'Detailed Financials'!AF18</f>
        <v>977</v>
      </c>
      <c r="AG37" s="62">
        <f>'Detailed Financials'!AG18</f>
        <v>1075</v>
      </c>
      <c r="AH37" s="62">
        <f>'Detailed Financials'!AH18</f>
        <v>1183</v>
      </c>
      <c r="AI37" s="62">
        <f>'Detailed Financials'!AI18</f>
        <v>1301</v>
      </c>
      <c r="AJ37" s="62">
        <f>'Detailed Financials'!AJ18</f>
        <v>1431</v>
      </c>
      <c r="AK37" s="62">
        <f>'Detailed Financials'!AK18</f>
        <v>1574</v>
      </c>
      <c r="AL37" s="62">
        <f>'Detailed Financials'!AL18</f>
        <v>1731</v>
      </c>
      <c r="AM37" s="62">
        <f>'Detailed Financials'!AM18</f>
        <v>1904</v>
      </c>
      <c r="AN37" s="62">
        <f>'Detailed Financials'!AN18</f>
        <v>2094</v>
      </c>
      <c r="AO37" s="62">
        <f>'Detailed Financials'!AO18</f>
        <v>2303</v>
      </c>
      <c r="AP37" s="62">
        <f>'Detailed Financials'!AP18</f>
        <v>2533</v>
      </c>
      <c r="AQ37" s="62">
        <f>'Detailed Financials'!AQ18</f>
        <v>2786</v>
      </c>
      <c r="AR37" s="62">
        <f>'Detailed Financials'!AR18</f>
        <v>3065</v>
      </c>
      <c r="AS37" s="62">
        <f>'Detailed Financials'!AS18</f>
        <v>3372</v>
      </c>
      <c r="AT37" s="62">
        <f>'Detailed Financials'!AT18</f>
        <v>3709</v>
      </c>
      <c r="AU37" s="62">
        <f>'Detailed Financials'!AU18</f>
        <v>4080</v>
      </c>
      <c r="AV37" s="62">
        <f>'Detailed Financials'!AV18</f>
        <v>4488</v>
      </c>
      <c r="AW37" s="62">
        <f>'Detailed Financials'!AW18</f>
        <v>4937</v>
      </c>
      <c r="AX37" s="62">
        <f>'Detailed Financials'!AX18</f>
        <v>5431</v>
      </c>
      <c r="AY37" s="62">
        <f>'Detailed Financials'!AY18</f>
        <v>5974</v>
      </c>
      <c r="AZ37" s="62">
        <f>'Detailed Financials'!AZ18</f>
        <v>6571</v>
      </c>
      <c r="BA37" s="62">
        <f>'Detailed Financials'!BA18</f>
        <v>7228</v>
      </c>
      <c r="BB37" s="62">
        <f>'Detailed Financials'!BB18</f>
        <v>7951</v>
      </c>
      <c r="BC37" s="62">
        <f>'Detailed Financials'!BC18</f>
        <v>8746</v>
      </c>
      <c r="BD37" s="62">
        <f>'Detailed Financials'!BD18</f>
        <v>9621</v>
      </c>
      <c r="BE37" s="62">
        <f>'Detailed Financials'!BE18</f>
        <v>10583</v>
      </c>
      <c r="BF37" s="62">
        <f>'Detailed Financials'!BF18</f>
        <v>11641</v>
      </c>
      <c r="BG37" s="62">
        <f>'Detailed Financials'!BG18</f>
        <v>12805</v>
      </c>
      <c r="BH37" s="62">
        <f>'Detailed Financials'!BH18</f>
        <v>14086</v>
      </c>
      <c r="BI37" s="62">
        <f>'Detailed Financials'!BI18</f>
        <v>15495</v>
      </c>
      <c r="BJ37" s="62">
        <f>'Detailed Financials'!BJ18</f>
        <v>17045</v>
      </c>
      <c r="BK37" s="62">
        <f>'Detailed Financials'!BK18</f>
        <v>18750</v>
      </c>
      <c r="BL37" s="62">
        <f>'Detailed Financials'!BL18</f>
        <v>20625</v>
      </c>
      <c r="BM37" s="62">
        <f>'Detailed Financials'!BM18</f>
        <v>22688</v>
      </c>
      <c r="BN37" s="62">
        <f>'Detailed Financials'!BN18</f>
        <v>24957</v>
      </c>
      <c r="BO37" t="s">
        <v>0</v>
      </c>
    </row>
    <row r="38" spans="2:67" ht="14.4" customHeight="1" x14ac:dyDescent="0.3">
      <c r="C38" t="s">
        <v>38</v>
      </c>
      <c r="G38" s="62">
        <f>'Detailed Financials'!G19</f>
        <v>55</v>
      </c>
      <c r="H38" s="62">
        <f>'Detailed Financials'!H19</f>
        <v>59</v>
      </c>
      <c r="I38" s="62">
        <f>'Detailed Financials'!I19</f>
        <v>63</v>
      </c>
      <c r="J38" s="62">
        <f>'Detailed Financials'!J19</f>
        <v>67</v>
      </c>
      <c r="K38" s="62">
        <f>'Detailed Financials'!K19</f>
        <v>72</v>
      </c>
      <c r="L38" s="62">
        <f>'Detailed Financials'!L19</f>
        <v>77</v>
      </c>
      <c r="M38" s="62">
        <f>'Detailed Financials'!M19</f>
        <v>82</v>
      </c>
      <c r="N38" s="62">
        <f>'Detailed Financials'!N19</f>
        <v>88</v>
      </c>
      <c r="O38" s="62">
        <f>'Detailed Financials'!O19</f>
        <v>94</v>
      </c>
      <c r="P38" s="62">
        <f>'Detailed Financials'!P19</f>
        <v>101</v>
      </c>
      <c r="Q38" s="62">
        <f>'Detailed Financials'!Q19</f>
        <v>108</v>
      </c>
      <c r="R38" s="62">
        <f>'Detailed Financials'!R19</f>
        <v>116</v>
      </c>
      <c r="S38" s="62">
        <f>'Detailed Financials'!S19</f>
        <v>124</v>
      </c>
      <c r="T38" s="62">
        <f>'Detailed Financials'!T19</f>
        <v>133</v>
      </c>
      <c r="U38" s="62">
        <f>'Detailed Financials'!U19</f>
        <v>142</v>
      </c>
      <c r="V38" s="62">
        <f>'Detailed Financials'!V19</f>
        <v>152</v>
      </c>
      <c r="W38" s="62">
        <f>'Detailed Financials'!W19</f>
        <v>163</v>
      </c>
      <c r="X38" s="62">
        <f>'Detailed Financials'!X19</f>
        <v>174</v>
      </c>
      <c r="Y38" s="62">
        <f>'Detailed Financials'!Y19</f>
        <v>186</v>
      </c>
      <c r="Z38" s="62">
        <f>'Detailed Financials'!Z19</f>
        <v>199</v>
      </c>
      <c r="AA38" s="62">
        <f>'Detailed Financials'!AA19</f>
        <v>213</v>
      </c>
      <c r="AB38" s="62">
        <f>'Detailed Financials'!AB19</f>
        <v>228</v>
      </c>
      <c r="AC38" s="62">
        <f>'Detailed Financials'!AC19</f>
        <v>244</v>
      </c>
      <c r="AD38" s="62">
        <f>'Detailed Financials'!AD19</f>
        <v>261</v>
      </c>
      <c r="AE38" s="62">
        <f>'Detailed Financials'!AE19</f>
        <v>279</v>
      </c>
      <c r="AF38" s="62">
        <f>'Detailed Financials'!AF19</f>
        <v>299</v>
      </c>
      <c r="AG38" s="62">
        <f>'Detailed Financials'!AG19</f>
        <v>320</v>
      </c>
      <c r="AH38" s="62">
        <f>'Detailed Financials'!AH19</f>
        <v>342</v>
      </c>
      <c r="AI38" s="62">
        <f>'Detailed Financials'!AI19</f>
        <v>366</v>
      </c>
      <c r="AJ38" s="62">
        <f>'Detailed Financials'!AJ19</f>
        <v>392</v>
      </c>
      <c r="AK38" s="62">
        <f>'Detailed Financials'!AK19</f>
        <v>419</v>
      </c>
      <c r="AL38" s="62">
        <f>'Detailed Financials'!AL19</f>
        <v>448</v>
      </c>
      <c r="AM38" s="62">
        <f>'Detailed Financials'!AM19</f>
        <v>479</v>
      </c>
      <c r="AN38" s="62">
        <f>'Detailed Financials'!AN19</f>
        <v>513</v>
      </c>
      <c r="AO38" s="62">
        <f>'Detailed Financials'!AO19</f>
        <v>549</v>
      </c>
      <c r="AP38" s="62">
        <f>'Detailed Financials'!AP19</f>
        <v>587</v>
      </c>
      <c r="AQ38" s="62">
        <f>'Detailed Financials'!AQ19</f>
        <v>628</v>
      </c>
      <c r="AR38" s="62">
        <f>'Detailed Financials'!AR19</f>
        <v>672</v>
      </c>
      <c r="AS38" s="62">
        <f>'Detailed Financials'!AS19</f>
        <v>719</v>
      </c>
      <c r="AT38" s="62">
        <f>'Detailed Financials'!AT19</f>
        <v>769</v>
      </c>
      <c r="AU38" s="62">
        <f>'Detailed Financials'!AU19</f>
        <v>823</v>
      </c>
      <c r="AV38" s="62">
        <f>'Detailed Financials'!AV19</f>
        <v>881</v>
      </c>
      <c r="AW38" s="62">
        <f>'Detailed Financials'!AW19</f>
        <v>943</v>
      </c>
      <c r="AX38" s="62">
        <f>'Detailed Financials'!AX19</f>
        <v>1009</v>
      </c>
      <c r="AY38" s="62">
        <f>'Detailed Financials'!AY19</f>
        <v>1080</v>
      </c>
      <c r="AZ38" s="62">
        <f>'Detailed Financials'!AZ19</f>
        <v>1156</v>
      </c>
      <c r="BA38" s="62">
        <f>'Detailed Financials'!BA19</f>
        <v>1237</v>
      </c>
      <c r="BB38" s="62">
        <f>'Detailed Financials'!BB19</f>
        <v>1324</v>
      </c>
      <c r="BC38" s="62">
        <f>'Detailed Financials'!BC19</f>
        <v>1417</v>
      </c>
      <c r="BD38" s="62">
        <f>'Detailed Financials'!BD19</f>
        <v>1516</v>
      </c>
      <c r="BE38" s="62">
        <f>'Detailed Financials'!BE19</f>
        <v>1622</v>
      </c>
      <c r="BF38" s="62">
        <f>'Detailed Financials'!BF19</f>
        <v>1736</v>
      </c>
      <c r="BG38" s="62">
        <f>'Detailed Financials'!BG19</f>
        <v>1858</v>
      </c>
      <c r="BH38" s="62">
        <f>'Detailed Financials'!BH19</f>
        <v>1988</v>
      </c>
      <c r="BI38" s="62">
        <f>'Detailed Financials'!BI19</f>
        <v>2127</v>
      </c>
      <c r="BJ38" s="62">
        <f>'Detailed Financials'!BJ19</f>
        <v>2276</v>
      </c>
      <c r="BK38" s="62">
        <f>'Detailed Financials'!BK19</f>
        <v>2435</v>
      </c>
      <c r="BL38" s="62">
        <f>'Detailed Financials'!BL19</f>
        <v>2605</v>
      </c>
      <c r="BM38" s="62">
        <f>'Detailed Financials'!BM19</f>
        <v>2787</v>
      </c>
      <c r="BN38" s="62">
        <f>'Detailed Financials'!BN19</f>
        <v>2982</v>
      </c>
      <c r="BO38" t="s">
        <v>0</v>
      </c>
    </row>
    <row r="39" spans="2:67" ht="14.4" customHeight="1" x14ac:dyDescent="0.3">
      <c r="C39" s="11" t="s">
        <v>78</v>
      </c>
      <c r="D39" s="11"/>
      <c r="E39" s="11"/>
      <c r="F39" s="11"/>
      <c r="G39" s="71">
        <f>SUM(G37:G38)</f>
        <v>145</v>
      </c>
      <c r="H39" s="71">
        <f t="shared" ref="H39:BN39" si="339">SUM(H37:H38)</f>
        <v>158</v>
      </c>
      <c r="I39" s="71">
        <f t="shared" si="339"/>
        <v>172</v>
      </c>
      <c r="J39" s="71">
        <f t="shared" si="339"/>
        <v>187</v>
      </c>
      <c r="K39" s="71">
        <f t="shared" si="339"/>
        <v>204</v>
      </c>
      <c r="L39" s="71">
        <f t="shared" si="339"/>
        <v>222</v>
      </c>
      <c r="M39" s="71">
        <f t="shared" si="339"/>
        <v>242</v>
      </c>
      <c r="N39" s="71">
        <f t="shared" si="339"/>
        <v>264</v>
      </c>
      <c r="O39" s="71">
        <f t="shared" si="339"/>
        <v>288</v>
      </c>
      <c r="P39" s="71">
        <f t="shared" si="339"/>
        <v>314</v>
      </c>
      <c r="Q39" s="71">
        <f t="shared" si="339"/>
        <v>342</v>
      </c>
      <c r="R39" s="71">
        <f t="shared" si="339"/>
        <v>373</v>
      </c>
      <c r="S39" s="71">
        <f t="shared" si="339"/>
        <v>407</v>
      </c>
      <c r="T39" s="71">
        <f t="shared" si="339"/>
        <v>444</v>
      </c>
      <c r="U39" s="71">
        <f t="shared" si="339"/>
        <v>484</v>
      </c>
      <c r="V39" s="71">
        <f t="shared" si="339"/>
        <v>528</v>
      </c>
      <c r="W39" s="71">
        <f t="shared" si="339"/>
        <v>577</v>
      </c>
      <c r="X39" s="71">
        <f t="shared" si="339"/>
        <v>629</v>
      </c>
      <c r="Y39" s="71">
        <f t="shared" si="339"/>
        <v>687</v>
      </c>
      <c r="Z39" s="71">
        <f t="shared" si="339"/>
        <v>750</v>
      </c>
      <c r="AA39" s="71">
        <f t="shared" si="339"/>
        <v>819</v>
      </c>
      <c r="AB39" s="71">
        <f t="shared" si="339"/>
        <v>895</v>
      </c>
      <c r="AC39" s="71">
        <f t="shared" si="339"/>
        <v>978</v>
      </c>
      <c r="AD39" s="71">
        <f t="shared" si="339"/>
        <v>1068</v>
      </c>
      <c r="AE39" s="71">
        <f t="shared" si="339"/>
        <v>1167</v>
      </c>
      <c r="AF39" s="71">
        <f t="shared" si="339"/>
        <v>1276</v>
      </c>
      <c r="AG39" s="71">
        <f t="shared" si="339"/>
        <v>1395</v>
      </c>
      <c r="AH39" s="71">
        <f t="shared" si="339"/>
        <v>1525</v>
      </c>
      <c r="AI39" s="71">
        <f t="shared" si="339"/>
        <v>1667</v>
      </c>
      <c r="AJ39" s="71">
        <f t="shared" si="339"/>
        <v>1823</v>
      </c>
      <c r="AK39" s="71">
        <f t="shared" si="339"/>
        <v>1993</v>
      </c>
      <c r="AL39" s="71">
        <f t="shared" si="339"/>
        <v>2179</v>
      </c>
      <c r="AM39" s="71">
        <f t="shared" si="339"/>
        <v>2383</v>
      </c>
      <c r="AN39" s="71">
        <f t="shared" si="339"/>
        <v>2607</v>
      </c>
      <c r="AO39" s="71">
        <f t="shared" si="339"/>
        <v>2852</v>
      </c>
      <c r="AP39" s="71">
        <f t="shared" si="339"/>
        <v>3120</v>
      </c>
      <c r="AQ39" s="71">
        <f t="shared" si="339"/>
        <v>3414</v>
      </c>
      <c r="AR39" s="71">
        <f t="shared" si="339"/>
        <v>3737</v>
      </c>
      <c r="AS39" s="71">
        <f t="shared" si="339"/>
        <v>4091</v>
      </c>
      <c r="AT39" s="71">
        <f t="shared" si="339"/>
        <v>4478</v>
      </c>
      <c r="AU39" s="71">
        <f t="shared" si="339"/>
        <v>4903</v>
      </c>
      <c r="AV39" s="71">
        <f t="shared" si="339"/>
        <v>5369</v>
      </c>
      <c r="AW39" s="71">
        <f t="shared" si="339"/>
        <v>5880</v>
      </c>
      <c r="AX39" s="71">
        <f t="shared" si="339"/>
        <v>6440</v>
      </c>
      <c r="AY39" s="71">
        <f t="shared" si="339"/>
        <v>7054</v>
      </c>
      <c r="AZ39" s="71">
        <f t="shared" si="339"/>
        <v>7727</v>
      </c>
      <c r="BA39" s="71">
        <f t="shared" si="339"/>
        <v>8465</v>
      </c>
      <c r="BB39" s="71">
        <f t="shared" si="339"/>
        <v>9275</v>
      </c>
      <c r="BC39" s="71">
        <f t="shared" si="339"/>
        <v>10163</v>
      </c>
      <c r="BD39" s="71">
        <f t="shared" si="339"/>
        <v>11137</v>
      </c>
      <c r="BE39" s="71">
        <f t="shared" si="339"/>
        <v>12205</v>
      </c>
      <c r="BF39" s="71">
        <f t="shared" si="339"/>
        <v>13377</v>
      </c>
      <c r="BG39" s="71">
        <f t="shared" si="339"/>
        <v>14663</v>
      </c>
      <c r="BH39" s="71">
        <f t="shared" si="339"/>
        <v>16074</v>
      </c>
      <c r="BI39" s="71">
        <f t="shared" si="339"/>
        <v>17622</v>
      </c>
      <c r="BJ39" s="71">
        <f t="shared" si="339"/>
        <v>19321</v>
      </c>
      <c r="BK39" s="71">
        <f t="shared" si="339"/>
        <v>21185</v>
      </c>
      <c r="BL39" s="71">
        <f t="shared" si="339"/>
        <v>23230</v>
      </c>
      <c r="BM39" s="71">
        <f t="shared" si="339"/>
        <v>25475</v>
      </c>
      <c r="BN39" s="71">
        <f t="shared" si="339"/>
        <v>27939</v>
      </c>
      <c r="BO39" t="s">
        <v>0</v>
      </c>
    </row>
    <row r="40" spans="2:67" ht="14.4" customHeight="1" x14ac:dyDescent="0.3">
      <c r="C40" s="25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t="s">
        <v>0</v>
      </c>
    </row>
    <row r="41" spans="2:67" ht="14.4" customHeight="1" x14ac:dyDescent="0.3">
      <c r="C41" t="s">
        <v>185</v>
      </c>
      <c r="G41" s="133">
        <f>'Detailed Financials'!G88</f>
        <v>100</v>
      </c>
      <c r="H41" s="133">
        <f>'Detailed Financials'!H88</f>
        <v>100</v>
      </c>
      <c r="I41" s="133">
        <f>'Detailed Financials'!I88</f>
        <v>100</v>
      </c>
      <c r="J41" s="133">
        <f>'Detailed Financials'!J88</f>
        <v>95</v>
      </c>
      <c r="K41" s="133">
        <f>'Detailed Financials'!K88</f>
        <v>95</v>
      </c>
      <c r="L41" s="133">
        <f>'Detailed Financials'!L88</f>
        <v>95</v>
      </c>
      <c r="M41" s="133">
        <f>'Detailed Financials'!M88</f>
        <v>90.25</v>
      </c>
      <c r="N41" s="133">
        <f>'Detailed Financials'!N88</f>
        <v>90.25</v>
      </c>
      <c r="O41" s="133">
        <f>'Detailed Financials'!O88</f>
        <v>90.25</v>
      </c>
      <c r="P41" s="133">
        <f>'Detailed Financials'!P88</f>
        <v>85.737499999999997</v>
      </c>
      <c r="Q41" s="133">
        <f>'Detailed Financials'!Q88</f>
        <v>85.737499999999997</v>
      </c>
      <c r="R41" s="133">
        <f>'Detailed Financials'!R88</f>
        <v>85.737499999999997</v>
      </c>
      <c r="S41" s="133">
        <f>'Detailed Financials'!S88</f>
        <v>81.450625000000002</v>
      </c>
      <c r="T41" s="133">
        <f>'Detailed Financials'!T88</f>
        <v>81.450625000000002</v>
      </c>
      <c r="U41" s="133">
        <f>'Detailed Financials'!U88</f>
        <v>81.450625000000002</v>
      </c>
      <c r="V41" s="133">
        <f>'Detailed Financials'!V88</f>
        <v>77.378093750000005</v>
      </c>
      <c r="W41" s="133">
        <f>'Detailed Financials'!W88</f>
        <v>77.378093750000005</v>
      </c>
      <c r="X41" s="133">
        <f>'Detailed Financials'!X88</f>
        <v>77.378093750000005</v>
      </c>
      <c r="Y41" s="133">
        <f>'Detailed Financials'!Y88</f>
        <v>73.509189062499999</v>
      </c>
      <c r="Z41" s="133">
        <f>'Detailed Financials'!Z88</f>
        <v>73.509189062499999</v>
      </c>
      <c r="AA41" s="133">
        <f>'Detailed Financials'!AA88</f>
        <v>73.509189062499999</v>
      </c>
      <c r="AB41" s="133">
        <f>'Detailed Financials'!AB88</f>
        <v>69.833729609374998</v>
      </c>
      <c r="AC41" s="133">
        <f>'Detailed Financials'!AC88</f>
        <v>69.833729609374998</v>
      </c>
      <c r="AD41" s="133">
        <f>'Detailed Financials'!AD88</f>
        <v>69.833729609374998</v>
      </c>
      <c r="AE41" s="133">
        <f>'Detailed Financials'!AE88</f>
        <v>66.342043128906255</v>
      </c>
      <c r="AF41" s="133">
        <f>'Detailed Financials'!AF88</f>
        <v>66.342043128906255</v>
      </c>
      <c r="AG41" s="133">
        <f>'Detailed Financials'!AG88</f>
        <v>66.342043128906255</v>
      </c>
      <c r="AH41" s="133">
        <f>'Detailed Financials'!AH88</f>
        <v>63.024940972460939</v>
      </c>
      <c r="AI41" s="133">
        <f>'Detailed Financials'!AI88</f>
        <v>63.024940972460939</v>
      </c>
      <c r="AJ41" s="133">
        <f>'Detailed Financials'!AJ88</f>
        <v>63.024940972460939</v>
      </c>
      <c r="AK41" s="133">
        <f>'Detailed Financials'!AK88</f>
        <v>59.873693923837891</v>
      </c>
      <c r="AL41" s="133">
        <f>'Detailed Financials'!AL88</f>
        <v>59.873693923837891</v>
      </c>
      <c r="AM41" s="133">
        <f>'Detailed Financials'!AM88</f>
        <v>59.873693923837891</v>
      </c>
      <c r="AN41" s="133">
        <f>'Detailed Financials'!AN88</f>
        <v>56.880009227645999</v>
      </c>
      <c r="AO41" s="133">
        <f>'Detailed Financials'!AO88</f>
        <v>56.880009227645999</v>
      </c>
      <c r="AP41" s="133">
        <f>'Detailed Financials'!AP88</f>
        <v>56.880009227645999</v>
      </c>
      <c r="AQ41" s="133">
        <f>'Detailed Financials'!AQ88</f>
        <v>54.036008766263699</v>
      </c>
      <c r="AR41" s="133">
        <f>'Detailed Financials'!AR88</f>
        <v>54.036008766263699</v>
      </c>
      <c r="AS41" s="133">
        <f>'Detailed Financials'!AS88</f>
        <v>54.036008766263699</v>
      </c>
      <c r="AT41" s="133">
        <f>'Detailed Financials'!AT88</f>
        <v>51.334208327950513</v>
      </c>
      <c r="AU41" s="133">
        <f>'Detailed Financials'!AU88</f>
        <v>51.334208327950513</v>
      </c>
      <c r="AV41" s="133">
        <f>'Detailed Financials'!AV88</f>
        <v>51.334208327950513</v>
      </c>
      <c r="AW41" s="133">
        <f>'Detailed Financials'!AW88</f>
        <v>48.767497911552987</v>
      </c>
      <c r="AX41" s="133">
        <f>'Detailed Financials'!AX88</f>
        <v>48.767497911552987</v>
      </c>
      <c r="AY41" s="133">
        <f>'Detailed Financials'!AY88</f>
        <v>48.767497911552987</v>
      </c>
      <c r="AZ41" s="133">
        <f>'Detailed Financials'!AZ88</f>
        <v>46.329123015975334</v>
      </c>
      <c r="BA41" s="133">
        <f>'Detailed Financials'!BA88</f>
        <v>46.329123015975334</v>
      </c>
      <c r="BB41" s="133">
        <f>'Detailed Financials'!BB88</f>
        <v>46.329123015975334</v>
      </c>
      <c r="BC41" s="133">
        <f>'Detailed Financials'!BC88</f>
        <v>44.01266686517657</v>
      </c>
      <c r="BD41" s="133">
        <f>'Detailed Financials'!BD88</f>
        <v>44.01266686517657</v>
      </c>
      <c r="BE41" s="133">
        <f>'Detailed Financials'!BE88</f>
        <v>44.01266686517657</v>
      </c>
      <c r="BF41" s="133">
        <f>'Detailed Financials'!BF88</f>
        <v>41.812033521917741</v>
      </c>
      <c r="BG41" s="133">
        <f>'Detailed Financials'!BG88</f>
        <v>41.812033521917741</v>
      </c>
      <c r="BH41" s="133">
        <f>'Detailed Financials'!BH88</f>
        <v>41.812033521917741</v>
      </c>
      <c r="BI41" s="133">
        <f>'Detailed Financials'!BI88</f>
        <v>39.721431845821854</v>
      </c>
      <c r="BJ41" s="133">
        <f>'Detailed Financials'!BJ88</f>
        <v>39.721431845821854</v>
      </c>
      <c r="BK41" s="133">
        <f>'Detailed Financials'!BK88</f>
        <v>39.721431845821854</v>
      </c>
      <c r="BL41" s="133">
        <f>'Detailed Financials'!BL88</f>
        <v>37.735360253530764</v>
      </c>
      <c r="BM41" s="133">
        <f>'Detailed Financials'!BM88</f>
        <v>37.735360253530764</v>
      </c>
      <c r="BN41" s="133">
        <f>'Detailed Financials'!BN88</f>
        <v>37.735360253530764</v>
      </c>
      <c r="BO41" t="s">
        <v>0</v>
      </c>
    </row>
    <row r="42" spans="2:67" ht="14.4" customHeight="1" x14ac:dyDescent="0.3">
      <c r="C42" t="s">
        <v>186</v>
      </c>
      <c r="G42" s="133">
        <f>'Detailed Financials'!G92</f>
        <v>200</v>
      </c>
      <c r="H42" s="133">
        <f>'Detailed Financials'!H92</f>
        <v>200</v>
      </c>
      <c r="I42" s="133">
        <f>'Detailed Financials'!I92</f>
        <v>200</v>
      </c>
      <c r="J42" s="133">
        <f>'Detailed Financials'!J92</f>
        <v>194</v>
      </c>
      <c r="K42" s="133">
        <f>'Detailed Financials'!K92</f>
        <v>194</v>
      </c>
      <c r="L42" s="133">
        <f>'Detailed Financials'!L92</f>
        <v>194</v>
      </c>
      <c r="M42" s="133">
        <f>'Detailed Financials'!M92</f>
        <v>188.18</v>
      </c>
      <c r="N42" s="133">
        <f>'Detailed Financials'!N92</f>
        <v>188.18</v>
      </c>
      <c r="O42" s="133">
        <f>'Detailed Financials'!O92</f>
        <v>188.18</v>
      </c>
      <c r="P42" s="133">
        <f>'Detailed Financials'!P92</f>
        <v>182.53460000000001</v>
      </c>
      <c r="Q42" s="133">
        <f>'Detailed Financials'!Q92</f>
        <v>182.53460000000001</v>
      </c>
      <c r="R42" s="133">
        <f>'Detailed Financials'!R92</f>
        <v>182.53460000000001</v>
      </c>
      <c r="S42" s="133">
        <f>'Detailed Financials'!S92</f>
        <v>177.05856200000002</v>
      </c>
      <c r="T42" s="133">
        <f>'Detailed Financials'!T92</f>
        <v>177.05856200000002</v>
      </c>
      <c r="U42" s="133">
        <f>'Detailed Financials'!U92</f>
        <v>177.05856200000002</v>
      </c>
      <c r="V42" s="133">
        <f>'Detailed Financials'!V92</f>
        <v>171.74680514000002</v>
      </c>
      <c r="W42" s="133">
        <f>'Detailed Financials'!W92</f>
        <v>171.74680514000002</v>
      </c>
      <c r="X42" s="133">
        <f>'Detailed Financials'!X92</f>
        <v>171.74680514000002</v>
      </c>
      <c r="Y42" s="133">
        <f>'Detailed Financials'!Y92</f>
        <v>166.59440098580001</v>
      </c>
      <c r="Z42" s="133">
        <f>'Detailed Financials'!Z92</f>
        <v>166.59440098580001</v>
      </c>
      <c r="AA42" s="133">
        <f>'Detailed Financials'!AA92</f>
        <v>166.59440098580001</v>
      </c>
      <c r="AB42" s="133">
        <f>'Detailed Financials'!AB92</f>
        <v>161.59656895622601</v>
      </c>
      <c r="AC42" s="133">
        <f>'Detailed Financials'!AC92</f>
        <v>161.59656895622601</v>
      </c>
      <c r="AD42" s="133">
        <f>'Detailed Financials'!AD92</f>
        <v>161.59656895622601</v>
      </c>
      <c r="AE42" s="133">
        <f>'Detailed Financials'!AE92</f>
        <v>156.74867188753922</v>
      </c>
      <c r="AF42" s="133">
        <f>'Detailed Financials'!AF92</f>
        <v>156.74867188753922</v>
      </c>
      <c r="AG42" s="133">
        <f>'Detailed Financials'!AG92</f>
        <v>156.74867188753922</v>
      </c>
      <c r="AH42" s="133">
        <f>'Detailed Financials'!AH92</f>
        <v>152.04621173091303</v>
      </c>
      <c r="AI42" s="133">
        <f>'Detailed Financials'!AI92</f>
        <v>152.04621173091303</v>
      </c>
      <c r="AJ42" s="133">
        <f>'Detailed Financials'!AJ92</f>
        <v>152.04621173091303</v>
      </c>
      <c r="AK42" s="133">
        <f>'Detailed Financials'!AK92</f>
        <v>147.48482537898565</v>
      </c>
      <c r="AL42" s="133">
        <f>'Detailed Financials'!AL92</f>
        <v>147.48482537898565</v>
      </c>
      <c r="AM42" s="133">
        <f>'Detailed Financials'!AM92</f>
        <v>147.48482537898565</v>
      </c>
      <c r="AN42" s="133">
        <f>'Detailed Financials'!AN92</f>
        <v>143.06028061761609</v>
      </c>
      <c r="AO42" s="133">
        <f>'Detailed Financials'!AO92</f>
        <v>143.06028061761609</v>
      </c>
      <c r="AP42" s="133">
        <f>'Detailed Financials'!AP92</f>
        <v>143.06028061761609</v>
      </c>
      <c r="AQ42" s="133">
        <f>'Detailed Financials'!AQ92</f>
        <v>138.7684721990876</v>
      </c>
      <c r="AR42" s="133">
        <f>'Detailed Financials'!AR92</f>
        <v>138.7684721990876</v>
      </c>
      <c r="AS42" s="133">
        <f>'Detailed Financials'!AS92</f>
        <v>138.7684721990876</v>
      </c>
      <c r="AT42" s="133">
        <f>'Detailed Financials'!AT92</f>
        <v>134.60541803311497</v>
      </c>
      <c r="AU42" s="133">
        <f>'Detailed Financials'!AU92</f>
        <v>134.60541803311497</v>
      </c>
      <c r="AV42" s="133">
        <f>'Detailed Financials'!AV92</f>
        <v>134.60541803311497</v>
      </c>
      <c r="AW42" s="133">
        <f>'Detailed Financials'!AW92</f>
        <v>130.56725549212152</v>
      </c>
      <c r="AX42" s="133">
        <f>'Detailed Financials'!AX92</f>
        <v>130.56725549212152</v>
      </c>
      <c r="AY42" s="133">
        <f>'Detailed Financials'!AY92</f>
        <v>130.56725549212152</v>
      </c>
      <c r="AZ42" s="133">
        <f>'Detailed Financials'!AZ92</f>
        <v>126.65023782735787</v>
      </c>
      <c r="BA42" s="133">
        <f>'Detailed Financials'!BA92</f>
        <v>126.65023782735787</v>
      </c>
      <c r="BB42" s="133">
        <f>'Detailed Financials'!BB92</f>
        <v>126.65023782735787</v>
      </c>
      <c r="BC42" s="133">
        <f>'Detailed Financials'!BC92</f>
        <v>122.85073069253713</v>
      </c>
      <c r="BD42" s="133">
        <f>'Detailed Financials'!BD92</f>
        <v>122.85073069253713</v>
      </c>
      <c r="BE42" s="133">
        <f>'Detailed Financials'!BE92</f>
        <v>122.85073069253713</v>
      </c>
      <c r="BF42" s="133">
        <f>'Detailed Financials'!BF92</f>
        <v>119.16520877176102</v>
      </c>
      <c r="BG42" s="133">
        <f>'Detailed Financials'!BG92</f>
        <v>119.16520877176102</v>
      </c>
      <c r="BH42" s="133">
        <f>'Detailed Financials'!BH92</f>
        <v>119.16520877176102</v>
      </c>
      <c r="BI42" s="133">
        <f>'Detailed Financials'!BI92</f>
        <v>115.59025250860819</v>
      </c>
      <c r="BJ42" s="133">
        <f>'Detailed Financials'!BJ92</f>
        <v>115.59025250860819</v>
      </c>
      <c r="BK42" s="133">
        <f>'Detailed Financials'!BK92</f>
        <v>115.59025250860819</v>
      </c>
      <c r="BL42" s="133">
        <f>'Detailed Financials'!BL92</f>
        <v>112.12254493334994</v>
      </c>
      <c r="BM42" s="133">
        <f>'Detailed Financials'!BM92</f>
        <v>112.12254493334994</v>
      </c>
      <c r="BN42" s="133">
        <f>'Detailed Financials'!BN92</f>
        <v>112.12254493334994</v>
      </c>
      <c r="BO42" t="s">
        <v>0</v>
      </c>
    </row>
    <row r="43" spans="2:67" ht="14.4" customHeight="1" x14ac:dyDescent="0.3">
      <c r="C43" s="31" t="s">
        <v>220</v>
      </c>
      <c r="D43" s="32"/>
      <c r="E43" s="32"/>
      <c r="F43" s="32"/>
      <c r="G43" s="39">
        <f>G47/G39</f>
        <v>137.93103448275863</v>
      </c>
      <c r="H43" s="39">
        <f t="shared" ref="H43:BN43" si="340">H47/H39</f>
        <v>137.34177215189874</v>
      </c>
      <c r="I43" s="39">
        <f t="shared" si="340"/>
        <v>136.62790697674419</v>
      </c>
      <c r="J43" s="39">
        <f t="shared" si="340"/>
        <v>130.47058823529412</v>
      </c>
      <c r="K43" s="39">
        <f t="shared" si="340"/>
        <v>129.94117647058823</v>
      </c>
      <c r="L43" s="39">
        <f t="shared" si="340"/>
        <v>129.33783783783784</v>
      </c>
      <c r="M43" s="39">
        <f t="shared" si="340"/>
        <v>123.43289256198348</v>
      </c>
      <c r="N43" s="39">
        <f t="shared" si="340"/>
        <v>122.89333333333333</v>
      </c>
      <c r="O43" s="39">
        <f t="shared" si="340"/>
        <v>122.21326388888889</v>
      </c>
      <c r="P43" s="39">
        <f t="shared" si="340"/>
        <v>116.87287292993631</v>
      </c>
      <c r="Q43" s="39">
        <f t="shared" si="340"/>
        <v>116.30500526315791</v>
      </c>
      <c r="R43" s="39">
        <f t="shared" si="340"/>
        <v>115.84061957104556</v>
      </c>
      <c r="S43" s="39">
        <f t="shared" si="340"/>
        <v>110.57933307862409</v>
      </c>
      <c r="T43" s="39">
        <f t="shared" si="340"/>
        <v>110.08993946171172</v>
      </c>
      <c r="U43" s="39">
        <f t="shared" si="340"/>
        <v>109.50088750826447</v>
      </c>
      <c r="V43" s="39">
        <f t="shared" si="340"/>
        <v>104.54484399863638</v>
      </c>
      <c r="W43" s="39">
        <f t="shared" si="340"/>
        <v>104.0368458411092</v>
      </c>
      <c r="X43" s="39">
        <f t="shared" si="340"/>
        <v>103.48326987378378</v>
      </c>
      <c r="Y43" s="39">
        <f t="shared" si="340"/>
        <v>98.711298840860692</v>
      </c>
      <c r="Z43" s="39">
        <f t="shared" si="340"/>
        <v>98.207798626148943</v>
      </c>
      <c r="AA43" s="39">
        <f t="shared" si="340"/>
        <v>97.718163592002938</v>
      </c>
      <c r="AB43" s="39">
        <f t="shared" si="340"/>
        <v>93.210184772595142</v>
      </c>
      <c r="AC43" s="39">
        <f t="shared" si="340"/>
        <v>92.72752592903926</v>
      </c>
      <c r="AD43" s="39">
        <f t="shared" si="340"/>
        <v>92.25891787672343</v>
      </c>
      <c r="AE43" s="39">
        <f t="shared" si="340"/>
        <v>87.955967228013876</v>
      </c>
      <c r="AF43" s="39">
        <f t="shared" si="340"/>
        <v>87.526668519839845</v>
      </c>
      <c r="AG43" s="39">
        <f t="shared" si="340"/>
        <v>87.080481267087293</v>
      </c>
      <c r="AH43" s="39">
        <f t="shared" si="340"/>
        <v>82.989055463864631</v>
      </c>
      <c r="AI43" s="39">
        <f t="shared" si="340"/>
        <v>82.570102998611787</v>
      </c>
      <c r="AJ43" s="39">
        <f t="shared" si="340"/>
        <v>82.167199961661822</v>
      </c>
      <c r="AK43" s="39">
        <f t="shared" si="340"/>
        <v>78.292692458562883</v>
      </c>
      <c r="AL43" s="39">
        <f t="shared" si="340"/>
        <v>77.886446054129863</v>
      </c>
      <c r="AM43" s="39">
        <f t="shared" si="340"/>
        <v>77.48415635229604</v>
      </c>
      <c r="AN43" s="39">
        <f t="shared" si="340"/>
        <v>73.838382539136077</v>
      </c>
      <c r="AO43" s="39">
        <f t="shared" si="340"/>
        <v>73.469409295350616</v>
      </c>
      <c r="AP43" s="39">
        <f t="shared" si="340"/>
        <v>73.094053876976915</v>
      </c>
      <c r="AQ43" s="39">
        <f t="shared" si="340"/>
        <v>69.622413873414672</v>
      </c>
      <c r="AR43" s="39">
        <f t="shared" si="340"/>
        <v>69.272887392663932</v>
      </c>
      <c r="AS43" s="39">
        <f t="shared" si="340"/>
        <v>68.927879020040365</v>
      </c>
      <c r="AT43" s="39">
        <f t="shared" si="340"/>
        <v>65.634244116979417</v>
      </c>
      <c r="AU43" s="39">
        <f t="shared" si="340"/>
        <v>65.311815015152291</v>
      </c>
      <c r="AV43" s="39">
        <f t="shared" si="340"/>
        <v>64.998193381079574</v>
      </c>
      <c r="AW43" s="39">
        <f t="shared" si="340"/>
        <v>61.886064475919667</v>
      </c>
      <c r="AX43" s="39">
        <f t="shared" si="340"/>
        <v>61.583640054222812</v>
      </c>
      <c r="AY43" s="39">
        <f t="shared" si="340"/>
        <v>61.291418834010315</v>
      </c>
      <c r="AZ43" s="39">
        <f t="shared" si="340"/>
        <v>58.345585902212967</v>
      </c>
      <c r="BA43" s="39">
        <f t="shared" si="340"/>
        <v>58.066538139623319</v>
      </c>
      <c r="BB43" s="39">
        <f t="shared" si="340"/>
        <v>57.794908030559746</v>
      </c>
      <c r="BC43" s="39">
        <f t="shared" si="340"/>
        <v>55.004847957705337</v>
      </c>
      <c r="BD43" s="39">
        <f t="shared" si="340"/>
        <v>54.744327524445552</v>
      </c>
      <c r="BE43" s="39">
        <f t="shared" si="340"/>
        <v>54.489958100570156</v>
      </c>
      <c r="BF43" s="39">
        <f t="shared" si="340"/>
        <v>51.850540828019852</v>
      </c>
      <c r="BG43" s="39">
        <f t="shared" si="340"/>
        <v>51.613724827531108</v>
      </c>
      <c r="BH43" s="39">
        <f t="shared" si="340"/>
        <v>51.378918702749424</v>
      </c>
      <c r="BI43" s="39">
        <f t="shared" si="340"/>
        <v>48.878904411350547</v>
      </c>
      <c r="BJ43" s="39">
        <f t="shared" si="340"/>
        <v>48.658724730688149</v>
      </c>
      <c r="BK43" s="39">
        <f t="shared" si="340"/>
        <v>48.441780125920261</v>
      </c>
      <c r="BL43" s="39">
        <f t="shared" si="340"/>
        <v>46.077100076644363</v>
      </c>
      <c r="BM43" s="39">
        <f t="shared" si="340"/>
        <v>45.873420457756716</v>
      </c>
      <c r="BN43" s="39">
        <f t="shared" si="340"/>
        <v>45.674892259515971</v>
      </c>
      <c r="BO43" t="s">
        <v>0</v>
      </c>
    </row>
    <row r="44" spans="2:67" ht="14.4" customHeight="1" x14ac:dyDescent="0.3">
      <c r="C44" s="25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BO44" t="s">
        <v>0</v>
      </c>
    </row>
    <row r="45" spans="2:67" ht="14.4" customHeight="1" x14ac:dyDescent="0.3">
      <c r="C45" t="s">
        <v>218</v>
      </c>
      <c r="G45" s="133">
        <f>'Detailed Financials'!G89</f>
        <v>9000</v>
      </c>
      <c r="H45" s="133">
        <f>'Detailed Financials'!H89</f>
        <v>9900</v>
      </c>
      <c r="I45" s="133">
        <f>'Detailed Financials'!I89</f>
        <v>10900</v>
      </c>
      <c r="J45" s="133">
        <f>'Detailed Financials'!J89</f>
        <v>11400</v>
      </c>
      <c r="K45" s="133">
        <f>'Detailed Financials'!K89</f>
        <v>12540</v>
      </c>
      <c r="L45" s="133">
        <f>'Detailed Financials'!L89</f>
        <v>13775</v>
      </c>
      <c r="M45" s="133">
        <f>'Detailed Financials'!M89</f>
        <v>14440</v>
      </c>
      <c r="N45" s="133">
        <f>'Detailed Financials'!N89</f>
        <v>15884</v>
      </c>
      <c r="O45" s="133">
        <f>'Detailed Financials'!O89</f>
        <v>17508.5</v>
      </c>
      <c r="P45" s="133">
        <f>'Detailed Financials'!P89</f>
        <v>18262.087499999998</v>
      </c>
      <c r="Q45" s="133">
        <f>'Detailed Financials'!Q89</f>
        <v>20062.575000000001</v>
      </c>
      <c r="R45" s="133">
        <f>'Detailed Financials'!R89</f>
        <v>22034.537499999999</v>
      </c>
      <c r="S45" s="133">
        <f>'Detailed Financials'!S89</f>
        <v>23050.526875</v>
      </c>
      <c r="T45" s="133">
        <f>'Detailed Financials'!T89</f>
        <v>25331.144375</v>
      </c>
      <c r="U45" s="133">
        <f>'Detailed Financials'!U89</f>
        <v>27856.11375</v>
      </c>
      <c r="V45" s="133">
        <f>'Detailed Financials'!V89</f>
        <v>29094.163250000001</v>
      </c>
      <c r="W45" s="133">
        <f>'Detailed Financials'!W89</f>
        <v>32034.530812500001</v>
      </c>
      <c r="X45" s="133">
        <f>'Detailed Financials'!X89</f>
        <v>35207.032656250005</v>
      </c>
      <c r="Y45" s="133">
        <f>'Detailed Financials'!Y89</f>
        <v>36828.103720312502</v>
      </c>
      <c r="Z45" s="133">
        <f>'Detailed Financials'!Z89</f>
        <v>40503.563173437498</v>
      </c>
      <c r="AA45" s="133">
        <f>'Detailed Financials'!AA89</f>
        <v>44546.568571875003</v>
      </c>
      <c r="AB45" s="133">
        <f>'Detailed Financials'!AB89</f>
        <v>46579.097649453121</v>
      </c>
      <c r="AC45" s="133">
        <f>'Detailed Financials'!AC89</f>
        <v>51257.957533281246</v>
      </c>
      <c r="AD45" s="133">
        <f>'Detailed Financials'!AD89</f>
        <v>56355.819794765623</v>
      </c>
      <c r="AE45" s="133">
        <f>'Detailed Financials'!AE89</f>
        <v>58911.734298468757</v>
      </c>
      <c r="AF45" s="133">
        <f>'Detailed Financials'!AF89</f>
        <v>64816.176136941409</v>
      </c>
      <c r="AG45" s="133">
        <f>'Detailed Financials'!AG89</f>
        <v>71317.696363574229</v>
      </c>
      <c r="AH45" s="133">
        <f>'Detailed Financials'!AH89</f>
        <v>74558.505170421296</v>
      </c>
      <c r="AI45" s="133">
        <f>'Detailed Financials'!AI89</f>
        <v>81995.448205171677</v>
      </c>
      <c r="AJ45" s="133">
        <f>'Detailed Financials'!AJ89</f>
        <v>90188.690531591608</v>
      </c>
      <c r="AK45" s="133">
        <f>'Detailed Financials'!AK89</f>
        <v>94241.194236120835</v>
      </c>
      <c r="AL45" s="133">
        <f>'Detailed Financials'!AL89</f>
        <v>103641.36418216339</v>
      </c>
      <c r="AM45" s="133">
        <f>'Detailed Financials'!AM89</f>
        <v>113999.51323098734</v>
      </c>
      <c r="AN45" s="133">
        <f>'Detailed Financials'!AN89</f>
        <v>119106.73932269072</v>
      </c>
      <c r="AO45" s="133">
        <f>'Detailed Financials'!AO89</f>
        <v>130994.66125126874</v>
      </c>
      <c r="AP45" s="133">
        <f>'Detailed Financials'!AP89</f>
        <v>144077.06337362732</v>
      </c>
      <c r="AQ45" s="133">
        <f>'Detailed Financials'!AQ89</f>
        <v>150544.32042281068</v>
      </c>
      <c r="AR45" s="133">
        <f>'Detailed Financials'!AR89</f>
        <v>165620.36686859824</v>
      </c>
      <c r="AS45" s="133">
        <f>'Detailed Financials'!AS89</f>
        <v>182209.4215598412</v>
      </c>
      <c r="AT45" s="133">
        <f>'Detailed Financials'!AT89</f>
        <v>190398.57868836846</v>
      </c>
      <c r="AU45" s="133">
        <f>'Detailed Financials'!AU89</f>
        <v>209443.56997803808</v>
      </c>
      <c r="AV45" s="133">
        <f>'Detailed Financials'!AV89</f>
        <v>230387.9269758419</v>
      </c>
      <c r="AW45" s="133">
        <f>'Detailed Financials'!AW89</f>
        <v>240765.13718933708</v>
      </c>
      <c r="AX45" s="133">
        <f>'Detailed Financials'!AX89</f>
        <v>264856.28115764429</v>
      </c>
      <c r="AY45" s="133">
        <f>'Detailed Financials'!AY89</f>
        <v>291337.03252361756</v>
      </c>
      <c r="AZ45" s="133">
        <f>'Detailed Financials'!AZ89</f>
        <v>304428.66733797389</v>
      </c>
      <c r="BA45" s="133">
        <f>'Detailed Financials'!BA89</f>
        <v>334866.90115946974</v>
      </c>
      <c r="BB45" s="133">
        <f>'Detailed Financials'!BB89</f>
        <v>368362.85710001987</v>
      </c>
      <c r="BC45" s="133">
        <f>'Detailed Financials'!BC89</f>
        <v>384934.78440283425</v>
      </c>
      <c r="BD45" s="133">
        <f>'Detailed Financials'!BD89</f>
        <v>423445.86790986377</v>
      </c>
      <c r="BE45" s="133">
        <f>'Detailed Financials'!BE89</f>
        <v>465786.05343416362</v>
      </c>
      <c r="BF45" s="133">
        <f>'Detailed Financials'!BF89</f>
        <v>486733.88222864439</v>
      </c>
      <c r="BG45" s="133">
        <f>'Detailed Financials'!BG89</f>
        <v>535403.08924815664</v>
      </c>
      <c r="BH45" s="133">
        <f>'Detailed Financials'!BH89</f>
        <v>588964.30418973335</v>
      </c>
      <c r="BI45" s="133">
        <f>'Detailed Financials'!BI89</f>
        <v>615483.58645100961</v>
      </c>
      <c r="BJ45" s="133">
        <f>'Detailed Financials'!BJ89</f>
        <v>677051.80581203348</v>
      </c>
      <c r="BK45" s="133">
        <f>'Detailed Financials'!BK89</f>
        <v>744776.8471091598</v>
      </c>
      <c r="BL45" s="133">
        <f>'Detailed Financials'!BL89</f>
        <v>778291.80522907199</v>
      </c>
      <c r="BM45" s="133">
        <f>'Detailed Financials'!BM89</f>
        <v>856139.85343210597</v>
      </c>
      <c r="BN45" s="133">
        <f>'Detailed Financials'!BN89</f>
        <v>941761.38584736723</v>
      </c>
      <c r="BO45" t="s">
        <v>0</v>
      </c>
    </row>
    <row r="46" spans="2:67" ht="14.4" customHeight="1" x14ac:dyDescent="0.3">
      <c r="C46" t="s">
        <v>219</v>
      </c>
      <c r="G46" s="133">
        <f>'Detailed Financials'!G93</f>
        <v>11000</v>
      </c>
      <c r="H46" s="133">
        <f>'Detailed Financials'!H93</f>
        <v>11800</v>
      </c>
      <c r="I46" s="133">
        <f>'Detailed Financials'!I93</f>
        <v>12600</v>
      </c>
      <c r="J46" s="133">
        <f>'Detailed Financials'!J93</f>
        <v>12998</v>
      </c>
      <c r="K46" s="133">
        <f>'Detailed Financials'!K93</f>
        <v>13968</v>
      </c>
      <c r="L46" s="133">
        <f>'Detailed Financials'!L93</f>
        <v>14938</v>
      </c>
      <c r="M46" s="133">
        <f>'Detailed Financials'!M93</f>
        <v>15430.76</v>
      </c>
      <c r="N46" s="133">
        <f>'Detailed Financials'!N93</f>
        <v>16559.84</v>
      </c>
      <c r="O46" s="133">
        <f>'Detailed Financials'!O93</f>
        <v>17688.920000000002</v>
      </c>
      <c r="P46" s="133">
        <f>'Detailed Financials'!P93</f>
        <v>18435.994600000002</v>
      </c>
      <c r="Q46" s="133">
        <f>'Detailed Financials'!Q93</f>
        <v>19713.736800000002</v>
      </c>
      <c r="R46" s="133">
        <f>'Detailed Financials'!R93</f>
        <v>21174.013600000002</v>
      </c>
      <c r="S46" s="133">
        <f>'Detailed Financials'!S93</f>
        <v>21955.261688000002</v>
      </c>
      <c r="T46" s="133">
        <f>'Detailed Financials'!T93</f>
        <v>23548.788746000002</v>
      </c>
      <c r="U46" s="133">
        <f>'Detailed Financials'!U93</f>
        <v>25142.315804000002</v>
      </c>
      <c r="V46" s="133">
        <f>'Detailed Financials'!V93</f>
        <v>26105.514381280002</v>
      </c>
      <c r="W46" s="133">
        <f>'Detailed Financials'!W93</f>
        <v>27994.729237820004</v>
      </c>
      <c r="X46" s="133">
        <f>'Detailed Financials'!X93</f>
        <v>29883.944094360002</v>
      </c>
      <c r="Y46" s="133">
        <f>'Detailed Financials'!Y93</f>
        <v>30986.558583358801</v>
      </c>
      <c r="Z46" s="133">
        <f>'Detailed Financials'!Z93</f>
        <v>33152.285796174205</v>
      </c>
      <c r="AA46" s="133">
        <f>'Detailed Financials'!AA93</f>
        <v>35484.607409975404</v>
      </c>
      <c r="AB46" s="133">
        <f>'Detailed Financials'!AB93</f>
        <v>36844.017722019533</v>
      </c>
      <c r="AC46" s="133">
        <f>'Detailed Financials'!AC93</f>
        <v>39429.562825319146</v>
      </c>
      <c r="AD46" s="133">
        <f>'Detailed Financials'!AD93</f>
        <v>42176.704497574989</v>
      </c>
      <c r="AE46" s="133">
        <f>'Detailed Financials'!AE93</f>
        <v>43732.879456623443</v>
      </c>
      <c r="AF46" s="133">
        <f>'Detailed Financials'!AF93</f>
        <v>46867.852894374228</v>
      </c>
      <c r="AG46" s="133">
        <f>'Detailed Financials'!AG93</f>
        <v>50159.575004012549</v>
      </c>
      <c r="AH46" s="133">
        <f>'Detailed Financials'!AH93</f>
        <v>51999.804411972254</v>
      </c>
      <c r="AI46" s="133">
        <f>'Detailed Financials'!AI93</f>
        <v>55648.91349351417</v>
      </c>
      <c r="AJ46" s="133">
        <f>'Detailed Financials'!AJ93</f>
        <v>59602.114998517907</v>
      </c>
      <c r="AK46" s="133">
        <f>'Detailed Financials'!AK93</f>
        <v>61796.141833794987</v>
      </c>
      <c r="AL46" s="133">
        <f>'Detailed Financials'!AL93</f>
        <v>66073.201769785577</v>
      </c>
      <c r="AM46" s="133">
        <f>'Detailed Financials'!AM93</f>
        <v>70645.231356534132</v>
      </c>
      <c r="AN46" s="133">
        <f>'Detailed Financials'!AN93</f>
        <v>73389.923956837054</v>
      </c>
      <c r="AO46" s="133">
        <f>'Detailed Financials'!AO93</f>
        <v>78540.094059071227</v>
      </c>
      <c r="AP46" s="133">
        <f>'Detailed Financials'!AP93</f>
        <v>83976.38472254065</v>
      </c>
      <c r="AQ46" s="133">
        <f>'Detailed Financials'!AQ93</f>
        <v>87146.600541027015</v>
      </c>
      <c r="AR46" s="133">
        <f>'Detailed Financials'!AR93</f>
        <v>93252.413317786864</v>
      </c>
      <c r="AS46" s="133">
        <f>'Detailed Financials'!AS93</f>
        <v>99774.531511143985</v>
      </c>
      <c r="AT46" s="133">
        <f>'Detailed Financials'!AT93</f>
        <v>103511.56646746541</v>
      </c>
      <c r="AU46" s="133">
        <f>'Detailed Financials'!AU93</f>
        <v>110780.25904125362</v>
      </c>
      <c r="AV46" s="133">
        <f>'Detailed Financials'!AV93</f>
        <v>118587.3732871743</v>
      </c>
      <c r="AW46" s="133">
        <f>'Detailed Financials'!AW93</f>
        <v>123124.9219290706</v>
      </c>
      <c r="AX46" s="133">
        <f>'Detailed Financials'!AX93</f>
        <v>131742.3607915506</v>
      </c>
      <c r="AY46" s="133">
        <f>'Detailed Financials'!AY93</f>
        <v>141012.63593149124</v>
      </c>
      <c r="AZ46" s="133">
        <f>'Detailed Financials'!AZ93</f>
        <v>146407.67492842569</v>
      </c>
      <c r="BA46" s="133">
        <f>'Detailed Financials'!BA93</f>
        <v>156666.3441924417</v>
      </c>
      <c r="BB46" s="133">
        <f>'Detailed Financials'!BB93</f>
        <v>167684.91488342182</v>
      </c>
      <c r="BC46" s="133">
        <f>'Detailed Financials'!BC93</f>
        <v>174079.48539132511</v>
      </c>
      <c r="BD46" s="133">
        <f>'Detailed Financials'!BD93</f>
        <v>186241.70772988629</v>
      </c>
      <c r="BE46" s="133">
        <f>'Detailed Financials'!BE93</f>
        <v>199263.88518329521</v>
      </c>
      <c r="BF46" s="133">
        <f>'Detailed Financials'!BF93</f>
        <v>206870.80242777712</v>
      </c>
      <c r="BG46" s="133">
        <f>'Detailed Financials'!BG93</f>
        <v>221408.95789793198</v>
      </c>
      <c r="BH46" s="133">
        <f>'Detailed Financials'!BH93</f>
        <v>236900.43503826091</v>
      </c>
      <c r="BI46" s="133">
        <f>'Detailed Financials'!BI93</f>
        <v>245860.46708580962</v>
      </c>
      <c r="BJ46" s="133">
        <f>'Detailed Financials'!BJ93</f>
        <v>263083.41470959224</v>
      </c>
      <c r="BK46" s="133">
        <f>'Detailed Financials'!BK93</f>
        <v>281462.26485846093</v>
      </c>
      <c r="BL46" s="133">
        <f>'Detailed Financials'!BL93</f>
        <v>292079.2295513766</v>
      </c>
      <c r="BM46" s="133">
        <f>'Detailed Financials'!BM93</f>
        <v>312485.5327292463</v>
      </c>
      <c r="BN46" s="133">
        <f>'Detailed Financials'!BN93</f>
        <v>334349.42899124953</v>
      </c>
      <c r="BO46" t="s">
        <v>0</v>
      </c>
    </row>
    <row r="47" spans="2:67" ht="14.4" customHeight="1" x14ac:dyDescent="0.3">
      <c r="C47" s="31" t="s">
        <v>198</v>
      </c>
      <c r="D47" s="32"/>
      <c r="E47" s="32"/>
      <c r="F47" s="32"/>
      <c r="G47" s="39">
        <f>SUM(G45:G46)</f>
        <v>20000</v>
      </c>
      <c r="H47" s="39">
        <f t="shared" ref="H47:BN47" si="341">SUM(H45:H46)</f>
        <v>21700</v>
      </c>
      <c r="I47" s="39">
        <f t="shared" si="341"/>
        <v>23500</v>
      </c>
      <c r="J47" s="39">
        <f t="shared" si="341"/>
        <v>24398</v>
      </c>
      <c r="K47" s="39">
        <f t="shared" si="341"/>
        <v>26508</v>
      </c>
      <c r="L47" s="39">
        <f t="shared" si="341"/>
        <v>28713</v>
      </c>
      <c r="M47" s="39">
        <f t="shared" si="341"/>
        <v>29870.760000000002</v>
      </c>
      <c r="N47" s="39">
        <f t="shared" si="341"/>
        <v>32443.84</v>
      </c>
      <c r="O47" s="39">
        <f t="shared" si="341"/>
        <v>35197.42</v>
      </c>
      <c r="P47" s="39">
        <f t="shared" si="341"/>
        <v>36698.0821</v>
      </c>
      <c r="Q47" s="39">
        <f t="shared" si="341"/>
        <v>39776.311800000003</v>
      </c>
      <c r="R47" s="39">
        <f t="shared" si="341"/>
        <v>43208.551099999997</v>
      </c>
      <c r="S47" s="39">
        <f t="shared" si="341"/>
        <v>45005.788563000002</v>
      </c>
      <c r="T47" s="39">
        <f t="shared" si="341"/>
        <v>48879.933121000002</v>
      </c>
      <c r="U47" s="39">
        <f t="shared" si="341"/>
        <v>52998.429554000002</v>
      </c>
      <c r="V47" s="39">
        <f t="shared" si="341"/>
        <v>55199.677631280007</v>
      </c>
      <c r="W47" s="39">
        <f t="shared" si="341"/>
        <v>60029.260050320008</v>
      </c>
      <c r="X47" s="39">
        <f t="shared" si="341"/>
        <v>65090.976750610003</v>
      </c>
      <c r="Y47" s="39">
        <f t="shared" si="341"/>
        <v>67814.662303671299</v>
      </c>
      <c r="Z47" s="39">
        <f t="shared" si="341"/>
        <v>73655.848969611703</v>
      </c>
      <c r="AA47" s="39">
        <f t="shared" si="341"/>
        <v>80031.175981850407</v>
      </c>
      <c r="AB47" s="39">
        <f t="shared" si="341"/>
        <v>83423.115371472653</v>
      </c>
      <c r="AC47" s="39">
        <f t="shared" si="341"/>
        <v>90687.520358600392</v>
      </c>
      <c r="AD47" s="39">
        <f t="shared" si="341"/>
        <v>98532.524292340619</v>
      </c>
      <c r="AE47" s="39">
        <f t="shared" si="341"/>
        <v>102644.6137550922</v>
      </c>
      <c r="AF47" s="39">
        <f t="shared" si="341"/>
        <v>111684.02903131564</v>
      </c>
      <c r="AG47" s="39">
        <f t="shared" si="341"/>
        <v>121477.27136758677</v>
      </c>
      <c r="AH47" s="39">
        <f t="shared" si="341"/>
        <v>126558.30958239356</v>
      </c>
      <c r="AI47" s="39">
        <f t="shared" si="341"/>
        <v>137644.36169868585</v>
      </c>
      <c r="AJ47" s="39">
        <f t="shared" si="341"/>
        <v>149790.8055301095</v>
      </c>
      <c r="AK47" s="39">
        <f t="shared" si="341"/>
        <v>156037.33606991582</v>
      </c>
      <c r="AL47" s="39">
        <f t="shared" si="341"/>
        <v>169714.56595194899</v>
      </c>
      <c r="AM47" s="39">
        <f t="shared" si="341"/>
        <v>184644.74458752148</v>
      </c>
      <c r="AN47" s="39">
        <f t="shared" si="341"/>
        <v>192496.66327952777</v>
      </c>
      <c r="AO47" s="39">
        <f t="shared" si="341"/>
        <v>209534.75531033997</v>
      </c>
      <c r="AP47" s="39">
        <f t="shared" si="341"/>
        <v>228053.44809616797</v>
      </c>
      <c r="AQ47" s="39">
        <f t="shared" si="341"/>
        <v>237690.92096383771</v>
      </c>
      <c r="AR47" s="39">
        <f t="shared" si="341"/>
        <v>258872.78018638509</v>
      </c>
      <c r="AS47" s="39">
        <f t="shared" si="341"/>
        <v>281983.95307098515</v>
      </c>
      <c r="AT47" s="39">
        <f t="shared" si="341"/>
        <v>293910.14515583386</v>
      </c>
      <c r="AU47" s="39">
        <f t="shared" si="341"/>
        <v>320223.82901929168</v>
      </c>
      <c r="AV47" s="39">
        <f t="shared" si="341"/>
        <v>348975.30026301619</v>
      </c>
      <c r="AW47" s="39">
        <f t="shared" si="341"/>
        <v>363890.05911840766</v>
      </c>
      <c r="AX47" s="39">
        <f t="shared" si="341"/>
        <v>396598.64194919489</v>
      </c>
      <c r="AY47" s="39">
        <f t="shared" si="341"/>
        <v>432349.66845510877</v>
      </c>
      <c r="AZ47" s="39">
        <f t="shared" si="341"/>
        <v>450836.34226639959</v>
      </c>
      <c r="BA47" s="39">
        <f t="shared" si="341"/>
        <v>491533.24535191141</v>
      </c>
      <c r="BB47" s="39">
        <f t="shared" si="341"/>
        <v>536047.77198344166</v>
      </c>
      <c r="BC47" s="39">
        <f t="shared" si="341"/>
        <v>559014.26979415934</v>
      </c>
      <c r="BD47" s="39">
        <f t="shared" si="341"/>
        <v>609687.57563975011</v>
      </c>
      <c r="BE47" s="39">
        <f t="shared" si="341"/>
        <v>665049.9386174588</v>
      </c>
      <c r="BF47" s="39">
        <f t="shared" si="341"/>
        <v>693604.68465642154</v>
      </c>
      <c r="BG47" s="39">
        <f t="shared" si="341"/>
        <v>756812.04714608868</v>
      </c>
      <c r="BH47" s="39">
        <f t="shared" si="341"/>
        <v>825864.73922799423</v>
      </c>
      <c r="BI47" s="39">
        <f t="shared" si="341"/>
        <v>861344.05353681929</v>
      </c>
      <c r="BJ47" s="39">
        <f t="shared" si="341"/>
        <v>940135.22052162571</v>
      </c>
      <c r="BK47" s="39">
        <f t="shared" si="341"/>
        <v>1026239.1119676207</v>
      </c>
      <c r="BL47" s="39">
        <f t="shared" si="341"/>
        <v>1070371.0347804485</v>
      </c>
      <c r="BM47" s="39">
        <f t="shared" si="341"/>
        <v>1168625.3861613523</v>
      </c>
      <c r="BN47" s="39">
        <f t="shared" si="341"/>
        <v>1276110.8148386166</v>
      </c>
      <c r="BO47" t="s">
        <v>0</v>
      </c>
    </row>
    <row r="48" spans="2:67" ht="14.4" customHeight="1" x14ac:dyDescent="0.3">
      <c r="C48" s="25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t="s">
        <v>0</v>
      </c>
    </row>
    <row r="49" spans="2:67" ht="14.4" customHeight="1" x14ac:dyDescent="0.3">
      <c r="B49" s="22"/>
      <c r="C49" s="4" t="s">
        <v>165</v>
      </c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t="s">
        <v>0</v>
      </c>
    </row>
    <row r="50" spans="2:67" ht="3" customHeight="1" x14ac:dyDescent="0.3">
      <c r="C50" s="25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t="s">
        <v>0</v>
      </c>
    </row>
    <row r="51" spans="2:67" ht="14.4" customHeight="1" x14ac:dyDescent="0.3">
      <c r="C51" t="s">
        <v>155</v>
      </c>
      <c r="G51" s="34">
        <f t="shared" ref="G51:AL51" si="342">G11/G31</f>
        <v>30</v>
      </c>
      <c r="H51" s="34">
        <f t="shared" si="342"/>
        <v>30</v>
      </c>
      <c r="I51" s="34">
        <f t="shared" si="342"/>
        <v>30</v>
      </c>
      <c r="J51" s="34">
        <f t="shared" si="342"/>
        <v>30</v>
      </c>
      <c r="K51" s="34">
        <f t="shared" si="342"/>
        <v>30</v>
      </c>
      <c r="L51" s="34">
        <f t="shared" si="342"/>
        <v>30</v>
      </c>
      <c r="M51" s="34">
        <f t="shared" si="342"/>
        <v>30</v>
      </c>
      <c r="N51" s="34">
        <f t="shared" si="342"/>
        <v>30</v>
      </c>
      <c r="O51" s="34">
        <f t="shared" si="342"/>
        <v>30</v>
      </c>
      <c r="P51" s="34">
        <f t="shared" si="342"/>
        <v>30</v>
      </c>
      <c r="Q51" s="34">
        <f t="shared" si="342"/>
        <v>30</v>
      </c>
      <c r="R51" s="34">
        <f t="shared" si="342"/>
        <v>30</v>
      </c>
      <c r="S51" s="34">
        <f t="shared" si="342"/>
        <v>30</v>
      </c>
      <c r="T51" s="34">
        <f t="shared" si="342"/>
        <v>30</v>
      </c>
      <c r="U51" s="34">
        <f t="shared" si="342"/>
        <v>30</v>
      </c>
      <c r="V51" s="34">
        <f t="shared" si="342"/>
        <v>30</v>
      </c>
      <c r="W51" s="34">
        <f t="shared" si="342"/>
        <v>30</v>
      </c>
      <c r="X51" s="34">
        <f t="shared" si="342"/>
        <v>30</v>
      </c>
      <c r="Y51" s="34">
        <f t="shared" si="342"/>
        <v>30</v>
      </c>
      <c r="Z51" s="34">
        <f t="shared" si="342"/>
        <v>30</v>
      </c>
      <c r="AA51" s="34">
        <f t="shared" si="342"/>
        <v>30</v>
      </c>
      <c r="AB51" s="34">
        <f t="shared" si="342"/>
        <v>30</v>
      </c>
      <c r="AC51" s="34">
        <f t="shared" si="342"/>
        <v>30</v>
      </c>
      <c r="AD51" s="34">
        <f t="shared" si="342"/>
        <v>30</v>
      </c>
      <c r="AE51" s="34">
        <f t="shared" si="342"/>
        <v>30</v>
      </c>
      <c r="AF51" s="34">
        <f t="shared" si="342"/>
        <v>30</v>
      </c>
      <c r="AG51" s="34">
        <f t="shared" si="342"/>
        <v>30</v>
      </c>
      <c r="AH51" s="34">
        <f t="shared" si="342"/>
        <v>30</v>
      </c>
      <c r="AI51" s="34">
        <f t="shared" si="342"/>
        <v>30</v>
      </c>
      <c r="AJ51" s="34">
        <f t="shared" si="342"/>
        <v>30</v>
      </c>
      <c r="AK51" s="34">
        <f t="shared" si="342"/>
        <v>30</v>
      </c>
      <c r="AL51" s="34">
        <f t="shared" si="342"/>
        <v>30</v>
      </c>
      <c r="AM51" s="34">
        <f t="shared" ref="AM51:BN51" si="343">AM11/AM31</f>
        <v>30</v>
      </c>
      <c r="AN51" s="34">
        <f t="shared" si="343"/>
        <v>30</v>
      </c>
      <c r="AO51" s="34">
        <f t="shared" si="343"/>
        <v>30</v>
      </c>
      <c r="AP51" s="34">
        <f t="shared" si="343"/>
        <v>30</v>
      </c>
      <c r="AQ51" s="34">
        <f t="shared" si="343"/>
        <v>30</v>
      </c>
      <c r="AR51" s="34">
        <f t="shared" si="343"/>
        <v>30</v>
      </c>
      <c r="AS51" s="34">
        <f t="shared" si="343"/>
        <v>30</v>
      </c>
      <c r="AT51" s="34">
        <f t="shared" si="343"/>
        <v>30</v>
      </c>
      <c r="AU51" s="34">
        <f t="shared" si="343"/>
        <v>30</v>
      </c>
      <c r="AV51" s="34">
        <f t="shared" si="343"/>
        <v>30</v>
      </c>
      <c r="AW51" s="34">
        <f t="shared" si="343"/>
        <v>30</v>
      </c>
      <c r="AX51" s="34">
        <f t="shared" si="343"/>
        <v>30</v>
      </c>
      <c r="AY51" s="34">
        <f t="shared" si="343"/>
        <v>30</v>
      </c>
      <c r="AZ51" s="34">
        <f t="shared" si="343"/>
        <v>30</v>
      </c>
      <c r="BA51" s="34">
        <f t="shared" si="343"/>
        <v>30</v>
      </c>
      <c r="BB51" s="34">
        <f t="shared" si="343"/>
        <v>30</v>
      </c>
      <c r="BC51" s="34">
        <f t="shared" si="343"/>
        <v>30</v>
      </c>
      <c r="BD51" s="34">
        <f t="shared" si="343"/>
        <v>30</v>
      </c>
      <c r="BE51" s="34">
        <f t="shared" si="343"/>
        <v>30</v>
      </c>
      <c r="BF51" s="34">
        <f t="shared" si="343"/>
        <v>30</v>
      </c>
      <c r="BG51" s="34">
        <f t="shared" si="343"/>
        <v>30</v>
      </c>
      <c r="BH51" s="34">
        <f t="shared" si="343"/>
        <v>30</v>
      </c>
      <c r="BI51" s="34">
        <f t="shared" si="343"/>
        <v>30</v>
      </c>
      <c r="BJ51" s="34">
        <f t="shared" si="343"/>
        <v>30</v>
      </c>
      <c r="BK51" s="34">
        <f t="shared" si="343"/>
        <v>30</v>
      </c>
      <c r="BL51" s="34">
        <f t="shared" si="343"/>
        <v>30</v>
      </c>
      <c r="BM51" s="34">
        <f t="shared" si="343"/>
        <v>30</v>
      </c>
      <c r="BN51" s="34">
        <f t="shared" si="343"/>
        <v>30</v>
      </c>
      <c r="BO51" t="s">
        <v>0</v>
      </c>
    </row>
    <row r="52" spans="2:67" ht="14.4" customHeight="1" x14ac:dyDescent="0.3">
      <c r="C52" t="s">
        <v>156</v>
      </c>
      <c r="G52" s="28">
        <f t="shared" ref="G52:AL52" si="344">G14/G33</f>
        <v>27.5</v>
      </c>
      <c r="H52" s="28">
        <f t="shared" si="344"/>
        <v>27.5</v>
      </c>
      <c r="I52" s="28">
        <f t="shared" si="344"/>
        <v>27.5</v>
      </c>
      <c r="J52" s="28">
        <f t="shared" si="344"/>
        <v>27.5</v>
      </c>
      <c r="K52" s="28">
        <f t="shared" si="344"/>
        <v>27.5</v>
      </c>
      <c r="L52" s="28">
        <f t="shared" si="344"/>
        <v>27.5</v>
      </c>
      <c r="M52" s="28">
        <f t="shared" si="344"/>
        <v>27.5</v>
      </c>
      <c r="N52" s="28">
        <f t="shared" si="344"/>
        <v>27.5</v>
      </c>
      <c r="O52" s="28">
        <f t="shared" si="344"/>
        <v>27.5</v>
      </c>
      <c r="P52" s="28">
        <f t="shared" si="344"/>
        <v>27.5</v>
      </c>
      <c r="Q52" s="28">
        <f t="shared" si="344"/>
        <v>27.5</v>
      </c>
      <c r="R52" s="28">
        <f t="shared" si="344"/>
        <v>27.5</v>
      </c>
      <c r="S52" s="28">
        <f t="shared" si="344"/>
        <v>27.5</v>
      </c>
      <c r="T52" s="28">
        <f t="shared" si="344"/>
        <v>27.5</v>
      </c>
      <c r="U52" s="28">
        <f t="shared" si="344"/>
        <v>27.5</v>
      </c>
      <c r="V52" s="28">
        <f t="shared" si="344"/>
        <v>27.5</v>
      </c>
      <c r="W52" s="28">
        <f t="shared" si="344"/>
        <v>27.5</v>
      </c>
      <c r="X52" s="28">
        <f t="shared" si="344"/>
        <v>27.5</v>
      </c>
      <c r="Y52" s="28">
        <f t="shared" si="344"/>
        <v>27.5</v>
      </c>
      <c r="Z52" s="28">
        <f t="shared" si="344"/>
        <v>27.5</v>
      </c>
      <c r="AA52" s="28">
        <f t="shared" si="344"/>
        <v>27.5</v>
      </c>
      <c r="AB52" s="28">
        <f t="shared" si="344"/>
        <v>27.5</v>
      </c>
      <c r="AC52" s="28">
        <f t="shared" si="344"/>
        <v>27.5</v>
      </c>
      <c r="AD52" s="28">
        <f t="shared" si="344"/>
        <v>27.5</v>
      </c>
      <c r="AE52" s="28">
        <f t="shared" si="344"/>
        <v>27.179922405431618</v>
      </c>
      <c r="AF52" s="28">
        <f t="shared" si="344"/>
        <v>26.891629297458895</v>
      </c>
      <c r="AG52" s="28">
        <f t="shared" si="344"/>
        <v>26.625172890733058</v>
      </c>
      <c r="AH52" s="28">
        <f t="shared" si="344"/>
        <v>26.379994877049182</v>
      </c>
      <c r="AI52" s="28">
        <f t="shared" si="344"/>
        <v>26.155352480417754</v>
      </c>
      <c r="AJ52" s="28">
        <f t="shared" si="344"/>
        <v>25.950704225352112</v>
      </c>
      <c r="AK52" s="28">
        <f t="shared" si="344"/>
        <v>25.765108207431606</v>
      </c>
      <c r="AL52" s="28">
        <f t="shared" si="344"/>
        <v>25.592304776345717</v>
      </c>
      <c r="AM52" s="28">
        <f t="shared" ref="AM52:BN52" si="345">AM14/AM33</f>
        <v>25.432658450704224</v>
      </c>
      <c r="AN52" s="28">
        <f t="shared" si="345"/>
        <v>25.282185506298053</v>
      </c>
      <c r="AO52" s="28">
        <f t="shared" si="345"/>
        <v>25.145963205108711</v>
      </c>
      <c r="AP52" s="28">
        <f t="shared" si="345"/>
        <v>25.019440124416796</v>
      </c>
      <c r="AQ52" s="28">
        <f t="shared" si="345"/>
        <v>24.899381822964621</v>
      </c>
      <c r="AR52" s="28">
        <f t="shared" si="345"/>
        <v>24.790391676866584</v>
      </c>
      <c r="AS52" s="28">
        <f t="shared" si="345"/>
        <v>24.689529451976757</v>
      </c>
      <c r="AT52" s="28">
        <f t="shared" si="345"/>
        <v>24.594207511139402</v>
      </c>
      <c r="AU52" s="28">
        <f t="shared" si="345"/>
        <v>24.505730659025787</v>
      </c>
      <c r="AV52" s="28">
        <f t="shared" si="345"/>
        <v>24.424758398527381</v>
      </c>
      <c r="AW52" s="28">
        <f t="shared" si="345"/>
        <v>24.349326815882002</v>
      </c>
      <c r="AX52" s="28">
        <f t="shared" si="345"/>
        <v>24.28034843762487</v>
      </c>
      <c r="AY52" s="28">
        <f t="shared" si="345"/>
        <v>24.216387337057729</v>
      </c>
      <c r="AZ52" s="28">
        <f t="shared" si="345"/>
        <v>24.156308589681274</v>
      </c>
      <c r="BA52" s="28">
        <f t="shared" si="345"/>
        <v>24.099443221546032</v>
      </c>
      <c r="BB52" s="28">
        <f t="shared" si="345"/>
        <v>24.046936311500151</v>
      </c>
      <c r="BC52" s="28">
        <f t="shared" si="345"/>
        <v>23.999408850354691</v>
      </c>
      <c r="BD52" s="28">
        <f t="shared" si="345"/>
        <v>23.954734023000579</v>
      </c>
      <c r="BE52" s="28">
        <f t="shared" si="345"/>
        <v>23.912457747513841</v>
      </c>
      <c r="BF52" s="28">
        <f t="shared" si="345"/>
        <v>23.873971663619745</v>
      </c>
      <c r="BG52" s="28">
        <f t="shared" si="345"/>
        <v>23.837633262260127</v>
      </c>
      <c r="BH52" s="28">
        <f t="shared" si="345"/>
        <v>23.80342220453641</v>
      </c>
      <c r="BI52" s="28">
        <f t="shared" si="345"/>
        <v>23.772328889219001</v>
      </c>
      <c r="BJ52" s="28">
        <f t="shared" si="345"/>
        <v>23.743414211438473</v>
      </c>
      <c r="BK52" s="28">
        <f t="shared" si="345"/>
        <v>23.716714660109361</v>
      </c>
      <c r="BL52" s="28">
        <f t="shared" si="345"/>
        <v>23.691515389494668</v>
      </c>
      <c r="BM52" s="28">
        <f t="shared" si="345"/>
        <v>23.667479766504048</v>
      </c>
      <c r="BN52" s="28">
        <f t="shared" si="345"/>
        <v>23.64507635597683</v>
      </c>
      <c r="BO52" t="s">
        <v>0</v>
      </c>
    </row>
    <row r="53" spans="2:67" ht="14.4" customHeight="1" x14ac:dyDescent="0.3">
      <c r="B53" s="22"/>
      <c r="C53" s="31" t="s">
        <v>157</v>
      </c>
      <c r="D53" s="31"/>
      <c r="E53" s="31"/>
      <c r="F53" s="31"/>
      <c r="G53" s="39">
        <f t="shared" ref="G53:AL53" si="346">G17/G35</f>
        <v>29.051724137931036</v>
      </c>
      <c r="H53" s="39">
        <f t="shared" si="346"/>
        <v>29.013840830449826</v>
      </c>
      <c r="I53" s="39">
        <f t="shared" si="346"/>
        <v>28.982758620689655</v>
      </c>
      <c r="J53" s="39">
        <f t="shared" si="346"/>
        <v>28.953687821612348</v>
      </c>
      <c r="K53" s="39">
        <f t="shared" si="346"/>
        <v>28.926630434782609</v>
      </c>
      <c r="L53" s="39">
        <f t="shared" si="346"/>
        <v>28.902234636871508</v>
      </c>
      <c r="M53" s="39">
        <f t="shared" si="346"/>
        <v>28.881826741996232</v>
      </c>
      <c r="N53" s="39">
        <f t="shared" si="346"/>
        <v>28.863085621970921</v>
      </c>
      <c r="O53" s="39">
        <f t="shared" si="346"/>
        <v>28.847368421052632</v>
      </c>
      <c r="P53" s="39">
        <f t="shared" si="346"/>
        <v>28.833128078817733</v>
      </c>
      <c r="Q53" s="39">
        <f t="shared" si="346"/>
        <v>28.820806100217865</v>
      </c>
      <c r="R53" s="39">
        <f t="shared" si="346"/>
        <v>28.80998545807077</v>
      </c>
      <c r="S53" s="39">
        <f t="shared" si="346"/>
        <v>28.812800349497596</v>
      </c>
      <c r="T53" s="39">
        <f t="shared" si="346"/>
        <v>28.816153238546605</v>
      </c>
      <c r="U53" s="39">
        <f t="shared" si="346"/>
        <v>28.819792412312097</v>
      </c>
      <c r="V53" s="39">
        <f t="shared" si="346"/>
        <v>28.823911630929175</v>
      </c>
      <c r="W53" s="39">
        <f t="shared" si="346"/>
        <v>28.828655834564255</v>
      </c>
      <c r="X53" s="39">
        <f t="shared" si="346"/>
        <v>28.83440947000269</v>
      </c>
      <c r="Y53" s="39">
        <f t="shared" si="346"/>
        <v>28.841059602649008</v>
      </c>
      <c r="Z53" s="39">
        <f t="shared" si="346"/>
        <v>28.84847806624888</v>
      </c>
      <c r="AA53" s="39">
        <f t="shared" si="346"/>
        <v>28.856295993458708</v>
      </c>
      <c r="AB53" s="39">
        <f t="shared" si="346"/>
        <v>28.864867388868134</v>
      </c>
      <c r="AC53" s="39">
        <f t="shared" si="346"/>
        <v>28.874231557377048</v>
      </c>
      <c r="AD53" s="39">
        <f t="shared" si="346"/>
        <v>28.883984375000001</v>
      </c>
      <c r="AE53" s="39">
        <f t="shared" si="346"/>
        <v>28.752681252681253</v>
      </c>
      <c r="AF53" s="39">
        <f t="shared" si="346"/>
        <v>28.638536074374755</v>
      </c>
      <c r="AG53" s="39">
        <f t="shared" si="346"/>
        <v>28.536819381146557</v>
      </c>
      <c r="AH53" s="39">
        <f t="shared" si="346"/>
        <v>28.447319270490002</v>
      </c>
      <c r="AI53" s="39">
        <f t="shared" si="346"/>
        <v>28.369160289971809</v>
      </c>
      <c r="AJ53" s="39">
        <f t="shared" si="346"/>
        <v>28.301956441491324</v>
      </c>
      <c r="AK53" s="39">
        <f t="shared" si="346"/>
        <v>28.245135363790187</v>
      </c>
      <c r="AL53" s="39">
        <f t="shared" si="346"/>
        <v>28.196028236754326</v>
      </c>
      <c r="AM53" s="39">
        <f t="shared" ref="AM53:BN53" si="347">AM17/AM35</f>
        <v>28.154478195916624</v>
      </c>
      <c r="AN53" s="39">
        <f t="shared" si="347"/>
        <v>28.11835323285705</v>
      </c>
      <c r="AO53" s="39">
        <f t="shared" si="347"/>
        <v>28.089696026807086</v>
      </c>
      <c r="AP53" s="39">
        <f t="shared" si="347"/>
        <v>28.066653860929698</v>
      </c>
      <c r="AQ53" s="39">
        <f t="shared" si="347"/>
        <v>28.047822803926504</v>
      </c>
      <c r="AR53" s="39">
        <f t="shared" si="347"/>
        <v>28.03479083941269</v>
      </c>
      <c r="AS53" s="39">
        <f t="shared" si="347"/>
        <v>28.026170915558566</v>
      </c>
      <c r="AT53" s="39">
        <f t="shared" si="347"/>
        <v>28.020857608948962</v>
      </c>
      <c r="AU53" s="39">
        <f t="shared" si="347"/>
        <v>28.019182132297939</v>
      </c>
      <c r="AV53" s="39">
        <f t="shared" si="347"/>
        <v>28.021200836273358</v>
      </c>
      <c r="AW53" s="39">
        <f t="shared" si="347"/>
        <v>28.026166012641166</v>
      </c>
      <c r="AX53" s="39">
        <f t="shared" si="347"/>
        <v>28.034223247637883</v>
      </c>
      <c r="AY53" s="39">
        <f t="shared" si="347"/>
        <v>28.044699068244775</v>
      </c>
      <c r="AZ53" s="39">
        <f t="shared" si="347"/>
        <v>28.057094703790924</v>
      </c>
      <c r="BA53" s="39">
        <f t="shared" si="347"/>
        <v>28.071111111111112</v>
      </c>
      <c r="BB53" s="39">
        <f t="shared" si="347"/>
        <v>28.087014297076568</v>
      </c>
      <c r="BC53" s="39">
        <f t="shared" si="347"/>
        <v>28.104997866439088</v>
      </c>
      <c r="BD53" s="39">
        <f t="shared" si="347"/>
        <v>28.124287157428228</v>
      </c>
      <c r="BE53" s="39">
        <f t="shared" si="347"/>
        <v>28.144661600250831</v>
      </c>
      <c r="BF53" s="39">
        <f t="shared" si="347"/>
        <v>28.166381668946649</v>
      </c>
      <c r="BG53" s="39">
        <f t="shared" si="347"/>
        <v>28.18894751353519</v>
      </c>
      <c r="BH53" s="39">
        <f t="shared" si="347"/>
        <v>28.212313591330204</v>
      </c>
      <c r="BI53" s="39">
        <f t="shared" si="347"/>
        <v>28.236709007171246</v>
      </c>
      <c r="BJ53" s="39">
        <f t="shared" si="347"/>
        <v>28.261791726050614</v>
      </c>
      <c r="BK53" s="39">
        <f t="shared" si="347"/>
        <v>28.287530202289201</v>
      </c>
      <c r="BL53" s="39">
        <f t="shared" si="347"/>
        <v>28.313686386280509</v>
      </c>
      <c r="BM53" s="39">
        <f t="shared" si="347"/>
        <v>28.340090772676536</v>
      </c>
      <c r="BN53" s="39">
        <f t="shared" si="347"/>
        <v>28.366827710337922</v>
      </c>
      <c r="BO53" t="s">
        <v>0</v>
      </c>
    </row>
    <row r="54" spans="2:67" ht="14.4" customHeight="1" x14ac:dyDescent="0.3">
      <c r="C54" s="25"/>
      <c r="E54" s="63" t="s">
        <v>15</v>
      </c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BO54" t="s">
        <v>0</v>
      </c>
    </row>
    <row r="55" spans="2:67" ht="14.4" customHeight="1" x14ac:dyDescent="0.3">
      <c r="C55" t="s">
        <v>173</v>
      </c>
      <c r="E55" s="85">
        <f>1-Assumptions!$E$9</f>
        <v>0.15000000000000002</v>
      </c>
      <c r="G55" s="97">
        <f>1/$E55</f>
        <v>6.6666666666666661</v>
      </c>
      <c r="H55" s="97">
        <f t="shared" ref="H55:BN55" si="348">1/$E55</f>
        <v>6.6666666666666661</v>
      </c>
      <c r="I55" s="97">
        <f t="shared" si="348"/>
        <v>6.6666666666666661</v>
      </c>
      <c r="J55" s="97">
        <f t="shared" si="348"/>
        <v>6.6666666666666661</v>
      </c>
      <c r="K55" s="97">
        <f t="shared" si="348"/>
        <v>6.6666666666666661</v>
      </c>
      <c r="L55" s="97">
        <f t="shared" si="348"/>
        <v>6.6666666666666661</v>
      </c>
      <c r="M55" s="97">
        <f t="shared" si="348"/>
        <v>6.6666666666666661</v>
      </c>
      <c r="N55" s="97">
        <f t="shared" si="348"/>
        <v>6.6666666666666661</v>
      </c>
      <c r="O55" s="97">
        <f t="shared" si="348"/>
        <v>6.6666666666666661</v>
      </c>
      <c r="P55" s="97">
        <f t="shared" si="348"/>
        <v>6.6666666666666661</v>
      </c>
      <c r="Q55" s="97">
        <f t="shared" si="348"/>
        <v>6.6666666666666661</v>
      </c>
      <c r="R55" s="97">
        <f t="shared" si="348"/>
        <v>6.6666666666666661</v>
      </c>
      <c r="S55" s="97">
        <f t="shared" si="348"/>
        <v>6.6666666666666661</v>
      </c>
      <c r="T55" s="97">
        <f t="shared" si="348"/>
        <v>6.6666666666666661</v>
      </c>
      <c r="U55" s="97">
        <f t="shared" si="348"/>
        <v>6.6666666666666661</v>
      </c>
      <c r="V55" s="97">
        <f t="shared" si="348"/>
        <v>6.6666666666666661</v>
      </c>
      <c r="W55" s="97">
        <f t="shared" si="348"/>
        <v>6.6666666666666661</v>
      </c>
      <c r="X55" s="97">
        <f t="shared" si="348"/>
        <v>6.6666666666666661</v>
      </c>
      <c r="Y55" s="97">
        <f t="shared" si="348"/>
        <v>6.6666666666666661</v>
      </c>
      <c r="Z55" s="97">
        <f t="shared" si="348"/>
        <v>6.6666666666666661</v>
      </c>
      <c r="AA55" s="97">
        <f t="shared" si="348"/>
        <v>6.6666666666666661</v>
      </c>
      <c r="AB55" s="97">
        <f t="shared" si="348"/>
        <v>6.6666666666666661</v>
      </c>
      <c r="AC55" s="97">
        <f t="shared" si="348"/>
        <v>6.6666666666666661</v>
      </c>
      <c r="AD55" s="97">
        <f t="shared" si="348"/>
        <v>6.6666666666666661</v>
      </c>
      <c r="AE55" s="97">
        <f t="shared" si="348"/>
        <v>6.6666666666666661</v>
      </c>
      <c r="AF55" s="97">
        <f t="shared" si="348"/>
        <v>6.6666666666666661</v>
      </c>
      <c r="AG55" s="97">
        <f t="shared" si="348"/>
        <v>6.6666666666666661</v>
      </c>
      <c r="AH55" s="97">
        <f t="shared" si="348"/>
        <v>6.6666666666666661</v>
      </c>
      <c r="AI55" s="97">
        <f t="shared" si="348"/>
        <v>6.6666666666666661</v>
      </c>
      <c r="AJ55" s="97">
        <f t="shared" si="348"/>
        <v>6.6666666666666661</v>
      </c>
      <c r="AK55" s="97">
        <f t="shared" si="348"/>
        <v>6.6666666666666661</v>
      </c>
      <c r="AL55" s="97">
        <f t="shared" si="348"/>
        <v>6.6666666666666661</v>
      </c>
      <c r="AM55" s="97">
        <f t="shared" si="348"/>
        <v>6.6666666666666661</v>
      </c>
      <c r="AN55" s="97">
        <f t="shared" si="348"/>
        <v>6.6666666666666661</v>
      </c>
      <c r="AO55" s="97">
        <f t="shared" si="348"/>
        <v>6.6666666666666661</v>
      </c>
      <c r="AP55" s="97">
        <f t="shared" si="348"/>
        <v>6.6666666666666661</v>
      </c>
      <c r="AQ55" s="97">
        <f t="shared" si="348"/>
        <v>6.6666666666666661</v>
      </c>
      <c r="AR55" s="97">
        <f t="shared" si="348"/>
        <v>6.6666666666666661</v>
      </c>
      <c r="AS55" s="97">
        <f t="shared" si="348"/>
        <v>6.6666666666666661</v>
      </c>
      <c r="AT55" s="97">
        <f t="shared" si="348"/>
        <v>6.6666666666666661</v>
      </c>
      <c r="AU55" s="97">
        <f t="shared" si="348"/>
        <v>6.6666666666666661</v>
      </c>
      <c r="AV55" s="97">
        <f t="shared" si="348"/>
        <v>6.6666666666666661</v>
      </c>
      <c r="AW55" s="97">
        <f t="shared" si="348"/>
        <v>6.6666666666666661</v>
      </c>
      <c r="AX55" s="97">
        <f t="shared" si="348"/>
        <v>6.6666666666666661</v>
      </c>
      <c r="AY55" s="97">
        <f t="shared" si="348"/>
        <v>6.6666666666666661</v>
      </c>
      <c r="AZ55" s="97">
        <f t="shared" si="348"/>
        <v>6.6666666666666661</v>
      </c>
      <c r="BA55" s="97">
        <f t="shared" si="348"/>
        <v>6.6666666666666661</v>
      </c>
      <c r="BB55" s="97">
        <f t="shared" si="348"/>
        <v>6.6666666666666661</v>
      </c>
      <c r="BC55" s="97">
        <f t="shared" si="348"/>
        <v>6.6666666666666661</v>
      </c>
      <c r="BD55" s="97">
        <f t="shared" si="348"/>
        <v>6.6666666666666661</v>
      </c>
      <c r="BE55" s="97">
        <f t="shared" si="348"/>
        <v>6.6666666666666661</v>
      </c>
      <c r="BF55" s="97">
        <f t="shared" si="348"/>
        <v>6.6666666666666661</v>
      </c>
      <c r="BG55" s="97">
        <f t="shared" si="348"/>
        <v>6.6666666666666661</v>
      </c>
      <c r="BH55" s="97">
        <f t="shared" si="348"/>
        <v>6.6666666666666661</v>
      </c>
      <c r="BI55" s="97">
        <f t="shared" si="348"/>
        <v>6.6666666666666661</v>
      </c>
      <c r="BJ55" s="97">
        <f t="shared" si="348"/>
        <v>6.6666666666666661</v>
      </c>
      <c r="BK55" s="97">
        <f t="shared" si="348"/>
        <v>6.6666666666666661</v>
      </c>
      <c r="BL55" s="97">
        <f t="shared" si="348"/>
        <v>6.6666666666666661</v>
      </c>
      <c r="BM55" s="97">
        <f t="shared" si="348"/>
        <v>6.6666666666666661</v>
      </c>
      <c r="BN55" s="97">
        <f t="shared" si="348"/>
        <v>6.6666666666666661</v>
      </c>
      <c r="BO55" t="s">
        <v>0</v>
      </c>
    </row>
    <row r="56" spans="2:67" ht="14.4" customHeight="1" x14ac:dyDescent="0.3">
      <c r="C56" t="s">
        <v>174</v>
      </c>
      <c r="E56" s="85">
        <f>1-Assumptions!$E$16</f>
        <v>0.35</v>
      </c>
      <c r="G56" s="97">
        <f>(1/$E56)*12</f>
        <v>34.285714285714285</v>
      </c>
      <c r="H56" s="97">
        <f t="shared" ref="H56:BN56" si="349">(1/$E56)*12</f>
        <v>34.285714285714285</v>
      </c>
      <c r="I56" s="97">
        <f t="shared" si="349"/>
        <v>34.285714285714285</v>
      </c>
      <c r="J56" s="97">
        <f t="shared" si="349"/>
        <v>34.285714285714285</v>
      </c>
      <c r="K56" s="97">
        <f t="shared" si="349"/>
        <v>34.285714285714285</v>
      </c>
      <c r="L56" s="97">
        <f t="shared" si="349"/>
        <v>34.285714285714285</v>
      </c>
      <c r="M56" s="97">
        <f t="shared" si="349"/>
        <v>34.285714285714285</v>
      </c>
      <c r="N56" s="97">
        <f t="shared" si="349"/>
        <v>34.285714285714285</v>
      </c>
      <c r="O56" s="97">
        <f t="shared" si="349"/>
        <v>34.285714285714285</v>
      </c>
      <c r="P56" s="97">
        <f t="shared" si="349"/>
        <v>34.285714285714285</v>
      </c>
      <c r="Q56" s="97">
        <f t="shared" si="349"/>
        <v>34.285714285714285</v>
      </c>
      <c r="R56" s="97">
        <f t="shared" si="349"/>
        <v>34.285714285714285</v>
      </c>
      <c r="S56" s="97">
        <f t="shared" si="349"/>
        <v>34.285714285714285</v>
      </c>
      <c r="T56" s="97">
        <f t="shared" si="349"/>
        <v>34.285714285714285</v>
      </c>
      <c r="U56" s="97">
        <f t="shared" si="349"/>
        <v>34.285714285714285</v>
      </c>
      <c r="V56" s="97">
        <f t="shared" si="349"/>
        <v>34.285714285714285</v>
      </c>
      <c r="W56" s="97">
        <f t="shared" si="349"/>
        <v>34.285714285714285</v>
      </c>
      <c r="X56" s="97">
        <f t="shared" si="349"/>
        <v>34.285714285714285</v>
      </c>
      <c r="Y56" s="97">
        <f t="shared" si="349"/>
        <v>34.285714285714285</v>
      </c>
      <c r="Z56" s="97">
        <f t="shared" si="349"/>
        <v>34.285714285714285</v>
      </c>
      <c r="AA56" s="97">
        <f t="shared" si="349"/>
        <v>34.285714285714285</v>
      </c>
      <c r="AB56" s="97">
        <f t="shared" si="349"/>
        <v>34.285714285714285</v>
      </c>
      <c r="AC56" s="97">
        <f t="shared" si="349"/>
        <v>34.285714285714285</v>
      </c>
      <c r="AD56" s="97">
        <f t="shared" si="349"/>
        <v>34.285714285714285</v>
      </c>
      <c r="AE56" s="97">
        <f t="shared" si="349"/>
        <v>34.285714285714285</v>
      </c>
      <c r="AF56" s="97">
        <f t="shared" si="349"/>
        <v>34.285714285714285</v>
      </c>
      <c r="AG56" s="97">
        <f t="shared" si="349"/>
        <v>34.285714285714285</v>
      </c>
      <c r="AH56" s="97">
        <f t="shared" si="349"/>
        <v>34.285714285714285</v>
      </c>
      <c r="AI56" s="97">
        <f t="shared" si="349"/>
        <v>34.285714285714285</v>
      </c>
      <c r="AJ56" s="97">
        <f t="shared" si="349"/>
        <v>34.285714285714285</v>
      </c>
      <c r="AK56" s="97">
        <f t="shared" si="349"/>
        <v>34.285714285714285</v>
      </c>
      <c r="AL56" s="97">
        <f t="shared" si="349"/>
        <v>34.285714285714285</v>
      </c>
      <c r="AM56" s="97">
        <f t="shared" si="349"/>
        <v>34.285714285714285</v>
      </c>
      <c r="AN56" s="97">
        <f t="shared" si="349"/>
        <v>34.285714285714285</v>
      </c>
      <c r="AO56" s="97">
        <f t="shared" si="349"/>
        <v>34.285714285714285</v>
      </c>
      <c r="AP56" s="97">
        <f t="shared" si="349"/>
        <v>34.285714285714285</v>
      </c>
      <c r="AQ56" s="97">
        <f t="shared" si="349"/>
        <v>34.285714285714285</v>
      </c>
      <c r="AR56" s="97">
        <f t="shared" si="349"/>
        <v>34.285714285714285</v>
      </c>
      <c r="AS56" s="97">
        <f t="shared" si="349"/>
        <v>34.285714285714285</v>
      </c>
      <c r="AT56" s="97">
        <f t="shared" si="349"/>
        <v>34.285714285714285</v>
      </c>
      <c r="AU56" s="97">
        <f t="shared" si="349"/>
        <v>34.285714285714285</v>
      </c>
      <c r="AV56" s="97">
        <f t="shared" si="349"/>
        <v>34.285714285714285</v>
      </c>
      <c r="AW56" s="97">
        <f t="shared" si="349"/>
        <v>34.285714285714285</v>
      </c>
      <c r="AX56" s="97">
        <f t="shared" si="349"/>
        <v>34.285714285714285</v>
      </c>
      <c r="AY56" s="97">
        <f t="shared" si="349"/>
        <v>34.285714285714285</v>
      </c>
      <c r="AZ56" s="97">
        <f t="shared" si="349"/>
        <v>34.285714285714285</v>
      </c>
      <c r="BA56" s="97">
        <f t="shared" si="349"/>
        <v>34.285714285714285</v>
      </c>
      <c r="BB56" s="97">
        <f t="shared" si="349"/>
        <v>34.285714285714285</v>
      </c>
      <c r="BC56" s="97">
        <f t="shared" si="349"/>
        <v>34.285714285714285</v>
      </c>
      <c r="BD56" s="97">
        <f t="shared" si="349"/>
        <v>34.285714285714285</v>
      </c>
      <c r="BE56" s="97">
        <f t="shared" si="349"/>
        <v>34.285714285714285</v>
      </c>
      <c r="BF56" s="97">
        <f t="shared" si="349"/>
        <v>34.285714285714285</v>
      </c>
      <c r="BG56" s="97">
        <f t="shared" si="349"/>
        <v>34.285714285714285</v>
      </c>
      <c r="BH56" s="97">
        <f t="shared" si="349"/>
        <v>34.285714285714285</v>
      </c>
      <c r="BI56" s="97">
        <f t="shared" si="349"/>
        <v>34.285714285714285</v>
      </c>
      <c r="BJ56" s="97">
        <f t="shared" si="349"/>
        <v>34.285714285714285</v>
      </c>
      <c r="BK56" s="97">
        <f t="shared" si="349"/>
        <v>34.285714285714285</v>
      </c>
      <c r="BL56" s="97">
        <f t="shared" si="349"/>
        <v>34.285714285714285</v>
      </c>
      <c r="BM56" s="97">
        <f t="shared" si="349"/>
        <v>34.285714285714285</v>
      </c>
      <c r="BN56" s="97">
        <f t="shared" si="349"/>
        <v>34.285714285714285</v>
      </c>
      <c r="BO56" t="s">
        <v>0</v>
      </c>
    </row>
    <row r="57" spans="2:67" ht="14.4" customHeight="1" x14ac:dyDescent="0.3">
      <c r="B57" s="22"/>
      <c r="C57" s="31" t="s">
        <v>175</v>
      </c>
      <c r="D57" s="31"/>
      <c r="E57" s="31"/>
      <c r="F57" s="31"/>
      <c r="G57" s="98">
        <f>(G55*G$31+G56*G$33)/G$35</f>
        <v>17.142857142857139</v>
      </c>
      <c r="H57" s="98">
        <f t="shared" ref="H57:AD57" si="350">(H55*H$31+H56*H$33)/H$35</f>
        <v>17.561377492173339</v>
      </c>
      <c r="I57" s="98">
        <f t="shared" si="350"/>
        <v>17.904761904761905</v>
      </c>
      <c r="J57" s="98">
        <f t="shared" si="350"/>
        <v>18.225925018377851</v>
      </c>
      <c r="K57" s="98">
        <f t="shared" si="350"/>
        <v>18.524844720496894</v>
      </c>
      <c r="L57" s="98">
        <f t="shared" si="350"/>
        <v>18.794360202181434</v>
      </c>
      <c r="M57" s="98">
        <f t="shared" si="350"/>
        <v>19.019818850327326</v>
      </c>
      <c r="N57" s="98">
        <f t="shared" si="350"/>
        <v>19.226863604892682</v>
      </c>
      <c r="O57" s="98">
        <f t="shared" si="350"/>
        <v>19.400501253132834</v>
      </c>
      <c r="P57" s="98">
        <f t="shared" si="350"/>
        <v>19.557823129251698</v>
      </c>
      <c r="Q57" s="98">
        <f t="shared" si="350"/>
        <v>19.693951654735969</v>
      </c>
      <c r="R57" s="98">
        <f t="shared" si="350"/>
        <v>19.813493987027673</v>
      </c>
      <c r="S57" s="98">
        <f t="shared" si="350"/>
        <v>19.782396138883687</v>
      </c>
      <c r="T57" s="98">
        <f t="shared" si="350"/>
        <v>19.745354697961332</v>
      </c>
      <c r="U57" s="98">
        <f t="shared" si="350"/>
        <v>19.705150492552065</v>
      </c>
      <c r="V57" s="98">
        <f t="shared" si="350"/>
        <v>19.659642934496734</v>
      </c>
      <c r="W57" s="98">
        <f t="shared" si="350"/>
        <v>19.607230780052049</v>
      </c>
      <c r="X57" s="98">
        <f t="shared" si="350"/>
        <v>19.543666807589325</v>
      </c>
      <c r="Y57" s="98">
        <f t="shared" si="350"/>
        <v>19.47019867549669</v>
      </c>
      <c r="Z57" s="98">
        <f t="shared" si="350"/>
        <v>19.38824231572665</v>
      </c>
      <c r="AA57" s="98">
        <f t="shared" si="350"/>
        <v>19.30187283417046</v>
      </c>
      <c r="AB57" s="98">
        <f t="shared" si="350"/>
        <v>19.20717932298059</v>
      </c>
      <c r="AC57" s="98">
        <f t="shared" si="350"/>
        <v>19.103727556596407</v>
      </c>
      <c r="AD57" s="98">
        <f t="shared" si="350"/>
        <v>18.995982142857141</v>
      </c>
      <c r="AE57" s="98">
        <f t="shared" ref="AE57:BN57" si="351">(AE55*AE$31+AE56*AE$33)/AE$35</f>
        <v>18.882556025413166</v>
      </c>
      <c r="AF57" s="98">
        <f t="shared" si="351"/>
        <v>18.763787824937488</v>
      </c>
      <c r="AG57" s="98">
        <f t="shared" si="351"/>
        <v>18.641103838993022</v>
      </c>
      <c r="AH57" s="98">
        <f t="shared" si="351"/>
        <v>18.512938025133145</v>
      </c>
      <c r="AI57" s="98">
        <f t="shared" si="351"/>
        <v>18.38223730893888</v>
      </c>
      <c r="AJ57" s="98">
        <f t="shared" si="351"/>
        <v>18.248519045861237</v>
      </c>
      <c r="AK57" s="98">
        <f t="shared" si="351"/>
        <v>18.111513979534283</v>
      </c>
      <c r="AL57" s="98">
        <f t="shared" si="351"/>
        <v>17.97052945761347</v>
      </c>
      <c r="AM57" s="98">
        <f t="shared" si="351"/>
        <v>17.826671680267751</v>
      </c>
      <c r="AN57" s="98">
        <f t="shared" si="351"/>
        <v>17.682210353966081</v>
      </c>
      <c r="AO57" s="98">
        <f t="shared" si="351"/>
        <v>17.536130297020673</v>
      </c>
      <c r="AP57" s="98">
        <f t="shared" si="351"/>
        <v>17.387786463029315</v>
      </c>
      <c r="AQ57" s="98">
        <f t="shared" si="351"/>
        <v>17.237400069516855</v>
      </c>
      <c r="AR57" s="98">
        <f t="shared" si="351"/>
        <v>17.085339630357637</v>
      </c>
      <c r="AS57" s="98">
        <f t="shared" si="351"/>
        <v>16.932287948634183</v>
      </c>
      <c r="AT57" s="98">
        <f t="shared" si="351"/>
        <v>16.778417729245042</v>
      </c>
      <c r="AU57" s="98">
        <f t="shared" si="351"/>
        <v>16.624005780846872</v>
      </c>
      <c r="AV57" s="98">
        <f t="shared" si="351"/>
        <v>16.469389532894038</v>
      </c>
      <c r="AW57" s="98">
        <f t="shared" si="351"/>
        <v>16.314263176438534</v>
      </c>
      <c r="AX57" s="98">
        <f t="shared" si="351"/>
        <v>16.159007439495245</v>
      </c>
      <c r="AY57" s="98">
        <f t="shared" si="351"/>
        <v>16.00400522838196</v>
      </c>
      <c r="AZ57" s="98">
        <f t="shared" si="351"/>
        <v>15.849422929350897</v>
      </c>
      <c r="BA57" s="98">
        <f t="shared" si="351"/>
        <v>15.695318720080623</v>
      </c>
      <c r="BB57" s="98">
        <f t="shared" si="351"/>
        <v>15.541902341646274</v>
      </c>
      <c r="BC57" s="98">
        <f t="shared" si="351"/>
        <v>15.388833009912592</v>
      </c>
      <c r="BD57" s="98">
        <f t="shared" si="351"/>
        <v>15.236248636385502</v>
      </c>
      <c r="BE57" s="98">
        <f t="shared" si="351"/>
        <v>15.084296883720565</v>
      </c>
      <c r="BF57" s="98">
        <f t="shared" si="351"/>
        <v>14.933489674939743</v>
      </c>
      <c r="BG57" s="98">
        <f t="shared" si="351"/>
        <v>14.78360403716329</v>
      </c>
      <c r="BH57" s="98">
        <f t="shared" si="351"/>
        <v>14.634644747264858</v>
      </c>
      <c r="BI57" s="98">
        <f t="shared" si="351"/>
        <v>14.486671453507061</v>
      </c>
      <c r="BJ57" s="98">
        <f t="shared" si="351"/>
        <v>14.339806412916076</v>
      </c>
      <c r="BK57" s="98">
        <f t="shared" si="351"/>
        <v>14.194063932692879</v>
      </c>
      <c r="BL57" s="98">
        <f t="shared" si="351"/>
        <v>14.049481855025522</v>
      </c>
      <c r="BM57" s="98">
        <f t="shared" si="351"/>
        <v>13.906298014426898</v>
      </c>
      <c r="BN57" s="98">
        <f t="shared" si="351"/>
        <v>13.764574645578259</v>
      </c>
      <c r="BO57" t="s">
        <v>0</v>
      </c>
    </row>
    <row r="58" spans="2:67" ht="14.4" customHeight="1" x14ac:dyDescent="0.3">
      <c r="C58" s="25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BO58" t="s">
        <v>0</v>
      </c>
    </row>
    <row r="59" spans="2:67" ht="14.4" customHeight="1" x14ac:dyDescent="0.3">
      <c r="C59" t="s">
        <v>192</v>
      </c>
      <c r="G59" s="34">
        <f>G55*G51</f>
        <v>199.99999999999997</v>
      </c>
      <c r="H59" s="34">
        <f t="shared" ref="H59:BN59" si="352">H55*H51</f>
        <v>199.99999999999997</v>
      </c>
      <c r="I59" s="34">
        <f t="shared" si="352"/>
        <v>199.99999999999997</v>
      </c>
      <c r="J59" s="34">
        <f t="shared" si="352"/>
        <v>199.99999999999997</v>
      </c>
      <c r="K59" s="34">
        <f t="shared" si="352"/>
        <v>199.99999999999997</v>
      </c>
      <c r="L59" s="34">
        <f t="shared" si="352"/>
        <v>199.99999999999997</v>
      </c>
      <c r="M59" s="34">
        <f t="shared" si="352"/>
        <v>199.99999999999997</v>
      </c>
      <c r="N59" s="34">
        <f t="shared" si="352"/>
        <v>199.99999999999997</v>
      </c>
      <c r="O59" s="34">
        <f t="shared" si="352"/>
        <v>199.99999999999997</v>
      </c>
      <c r="P59" s="34">
        <f t="shared" si="352"/>
        <v>199.99999999999997</v>
      </c>
      <c r="Q59" s="34">
        <f t="shared" si="352"/>
        <v>199.99999999999997</v>
      </c>
      <c r="R59" s="34">
        <f t="shared" si="352"/>
        <v>199.99999999999997</v>
      </c>
      <c r="S59" s="34">
        <f t="shared" si="352"/>
        <v>199.99999999999997</v>
      </c>
      <c r="T59" s="34">
        <f t="shared" si="352"/>
        <v>199.99999999999997</v>
      </c>
      <c r="U59" s="34">
        <f t="shared" si="352"/>
        <v>199.99999999999997</v>
      </c>
      <c r="V59" s="34">
        <f t="shared" si="352"/>
        <v>199.99999999999997</v>
      </c>
      <c r="W59" s="34">
        <f t="shared" si="352"/>
        <v>199.99999999999997</v>
      </c>
      <c r="X59" s="34">
        <f t="shared" si="352"/>
        <v>199.99999999999997</v>
      </c>
      <c r="Y59" s="34">
        <f t="shared" si="352"/>
        <v>199.99999999999997</v>
      </c>
      <c r="Z59" s="34">
        <f t="shared" si="352"/>
        <v>199.99999999999997</v>
      </c>
      <c r="AA59" s="34">
        <f t="shared" si="352"/>
        <v>199.99999999999997</v>
      </c>
      <c r="AB59" s="34">
        <f t="shared" si="352"/>
        <v>199.99999999999997</v>
      </c>
      <c r="AC59" s="34">
        <f t="shared" si="352"/>
        <v>199.99999999999997</v>
      </c>
      <c r="AD59" s="34">
        <f t="shared" si="352"/>
        <v>199.99999999999997</v>
      </c>
      <c r="AE59" s="34">
        <f t="shared" si="352"/>
        <v>199.99999999999997</v>
      </c>
      <c r="AF59" s="34">
        <f t="shared" si="352"/>
        <v>199.99999999999997</v>
      </c>
      <c r="AG59" s="34">
        <f t="shared" si="352"/>
        <v>199.99999999999997</v>
      </c>
      <c r="AH59" s="34">
        <f t="shared" si="352"/>
        <v>199.99999999999997</v>
      </c>
      <c r="AI59" s="34">
        <f t="shared" si="352"/>
        <v>199.99999999999997</v>
      </c>
      <c r="AJ59" s="34">
        <f t="shared" si="352"/>
        <v>199.99999999999997</v>
      </c>
      <c r="AK59" s="34">
        <f t="shared" si="352"/>
        <v>199.99999999999997</v>
      </c>
      <c r="AL59" s="34">
        <f t="shared" si="352"/>
        <v>199.99999999999997</v>
      </c>
      <c r="AM59" s="34">
        <f t="shared" si="352"/>
        <v>199.99999999999997</v>
      </c>
      <c r="AN59" s="34">
        <f t="shared" si="352"/>
        <v>199.99999999999997</v>
      </c>
      <c r="AO59" s="34">
        <f t="shared" si="352"/>
        <v>199.99999999999997</v>
      </c>
      <c r="AP59" s="34">
        <f t="shared" si="352"/>
        <v>199.99999999999997</v>
      </c>
      <c r="AQ59" s="34">
        <f t="shared" si="352"/>
        <v>199.99999999999997</v>
      </c>
      <c r="AR59" s="34">
        <f t="shared" si="352"/>
        <v>199.99999999999997</v>
      </c>
      <c r="AS59" s="34">
        <f t="shared" si="352"/>
        <v>199.99999999999997</v>
      </c>
      <c r="AT59" s="34">
        <f t="shared" si="352"/>
        <v>199.99999999999997</v>
      </c>
      <c r="AU59" s="34">
        <f t="shared" si="352"/>
        <v>199.99999999999997</v>
      </c>
      <c r="AV59" s="34">
        <f t="shared" si="352"/>
        <v>199.99999999999997</v>
      </c>
      <c r="AW59" s="34">
        <f t="shared" si="352"/>
        <v>199.99999999999997</v>
      </c>
      <c r="AX59" s="34">
        <f t="shared" si="352"/>
        <v>199.99999999999997</v>
      </c>
      <c r="AY59" s="34">
        <f t="shared" si="352"/>
        <v>199.99999999999997</v>
      </c>
      <c r="AZ59" s="34">
        <f t="shared" si="352"/>
        <v>199.99999999999997</v>
      </c>
      <c r="BA59" s="34">
        <f t="shared" si="352"/>
        <v>199.99999999999997</v>
      </c>
      <c r="BB59" s="34">
        <f t="shared" si="352"/>
        <v>199.99999999999997</v>
      </c>
      <c r="BC59" s="34">
        <f t="shared" si="352"/>
        <v>199.99999999999997</v>
      </c>
      <c r="BD59" s="34">
        <f t="shared" si="352"/>
        <v>199.99999999999997</v>
      </c>
      <c r="BE59" s="34">
        <f t="shared" si="352"/>
        <v>199.99999999999997</v>
      </c>
      <c r="BF59" s="34">
        <f t="shared" si="352"/>
        <v>199.99999999999997</v>
      </c>
      <c r="BG59" s="34">
        <f t="shared" si="352"/>
        <v>199.99999999999997</v>
      </c>
      <c r="BH59" s="34">
        <f t="shared" si="352"/>
        <v>199.99999999999997</v>
      </c>
      <c r="BI59" s="34">
        <f t="shared" si="352"/>
        <v>199.99999999999997</v>
      </c>
      <c r="BJ59" s="34">
        <f t="shared" si="352"/>
        <v>199.99999999999997</v>
      </c>
      <c r="BK59" s="34">
        <f t="shared" si="352"/>
        <v>199.99999999999997</v>
      </c>
      <c r="BL59" s="34">
        <f t="shared" si="352"/>
        <v>199.99999999999997</v>
      </c>
      <c r="BM59" s="34">
        <f t="shared" si="352"/>
        <v>199.99999999999997</v>
      </c>
      <c r="BN59" s="34">
        <f t="shared" si="352"/>
        <v>199.99999999999997</v>
      </c>
      <c r="BO59" t="s">
        <v>0</v>
      </c>
    </row>
    <row r="60" spans="2:67" ht="14.4" customHeight="1" x14ac:dyDescent="0.3">
      <c r="C60" t="s">
        <v>193</v>
      </c>
      <c r="G60" s="28">
        <f>G56*G52</f>
        <v>942.85714285714278</v>
      </c>
      <c r="H60" s="28">
        <f t="shared" ref="H60:BN60" si="353">H56*H52</f>
        <v>942.85714285714278</v>
      </c>
      <c r="I60" s="28">
        <f t="shared" si="353"/>
        <v>942.85714285714278</v>
      </c>
      <c r="J60" s="28">
        <f t="shared" si="353"/>
        <v>942.85714285714278</v>
      </c>
      <c r="K60" s="28">
        <f t="shared" si="353"/>
        <v>942.85714285714278</v>
      </c>
      <c r="L60" s="28">
        <f t="shared" si="353"/>
        <v>942.85714285714278</v>
      </c>
      <c r="M60" s="28">
        <f t="shared" si="353"/>
        <v>942.85714285714278</v>
      </c>
      <c r="N60" s="28">
        <f t="shared" si="353"/>
        <v>942.85714285714278</v>
      </c>
      <c r="O60" s="28">
        <f t="shared" si="353"/>
        <v>942.85714285714278</v>
      </c>
      <c r="P60" s="28">
        <f t="shared" si="353"/>
        <v>942.85714285714278</v>
      </c>
      <c r="Q60" s="28">
        <f t="shared" si="353"/>
        <v>942.85714285714278</v>
      </c>
      <c r="R60" s="28">
        <f t="shared" si="353"/>
        <v>942.85714285714278</v>
      </c>
      <c r="S60" s="28">
        <f t="shared" si="353"/>
        <v>942.85714285714278</v>
      </c>
      <c r="T60" s="28">
        <f t="shared" si="353"/>
        <v>942.85714285714278</v>
      </c>
      <c r="U60" s="28">
        <f t="shared" si="353"/>
        <v>942.85714285714278</v>
      </c>
      <c r="V60" s="28">
        <f t="shared" si="353"/>
        <v>942.85714285714278</v>
      </c>
      <c r="W60" s="28">
        <f t="shared" si="353"/>
        <v>942.85714285714278</v>
      </c>
      <c r="X60" s="28">
        <f t="shared" si="353"/>
        <v>942.85714285714278</v>
      </c>
      <c r="Y60" s="28">
        <f t="shared" si="353"/>
        <v>942.85714285714278</v>
      </c>
      <c r="Z60" s="28">
        <f t="shared" si="353"/>
        <v>942.85714285714278</v>
      </c>
      <c r="AA60" s="28">
        <f t="shared" si="353"/>
        <v>942.85714285714278</v>
      </c>
      <c r="AB60" s="28">
        <f t="shared" si="353"/>
        <v>942.85714285714278</v>
      </c>
      <c r="AC60" s="28">
        <f t="shared" si="353"/>
        <v>942.85714285714278</v>
      </c>
      <c r="AD60" s="28">
        <f t="shared" si="353"/>
        <v>942.85714285714278</v>
      </c>
      <c r="AE60" s="28">
        <f t="shared" si="353"/>
        <v>931.88305390051255</v>
      </c>
      <c r="AF60" s="28">
        <f t="shared" si="353"/>
        <v>921.9987187700192</v>
      </c>
      <c r="AG60" s="28">
        <f t="shared" si="353"/>
        <v>912.86307053941914</v>
      </c>
      <c r="AH60" s="28">
        <f t="shared" si="353"/>
        <v>904.45696721311481</v>
      </c>
      <c r="AI60" s="28">
        <f t="shared" si="353"/>
        <v>896.75494218575159</v>
      </c>
      <c r="AJ60" s="28">
        <f t="shared" si="353"/>
        <v>889.73843058350099</v>
      </c>
      <c r="AK60" s="28">
        <f t="shared" si="353"/>
        <v>883.37513854051213</v>
      </c>
      <c r="AL60" s="28">
        <f t="shared" si="353"/>
        <v>877.45044947471024</v>
      </c>
      <c r="AM60" s="28">
        <f t="shared" si="353"/>
        <v>871.97686116700197</v>
      </c>
      <c r="AN60" s="28">
        <f t="shared" si="353"/>
        <v>866.81778878736179</v>
      </c>
      <c r="AO60" s="28">
        <f t="shared" si="353"/>
        <v>862.14730988944143</v>
      </c>
      <c r="AP60" s="28">
        <f t="shared" si="353"/>
        <v>857.80937569429011</v>
      </c>
      <c r="AQ60" s="28">
        <f t="shared" si="353"/>
        <v>853.69309107307265</v>
      </c>
      <c r="AR60" s="28">
        <f t="shared" si="353"/>
        <v>849.95628606399714</v>
      </c>
      <c r="AS60" s="28">
        <f t="shared" si="353"/>
        <v>846.49815263920311</v>
      </c>
      <c r="AT60" s="28">
        <f t="shared" si="353"/>
        <v>843.22997181049379</v>
      </c>
      <c r="AU60" s="28">
        <f t="shared" si="353"/>
        <v>840.19647973802694</v>
      </c>
      <c r="AV60" s="28">
        <f t="shared" si="353"/>
        <v>837.42028794951011</v>
      </c>
      <c r="AW60" s="28">
        <f t="shared" si="353"/>
        <v>834.8340622588114</v>
      </c>
      <c r="AX60" s="28">
        <f t="shared" si="353"/>
        <v>832.46908928999551</v>
      </c>
      <c r="AY60" s="28">
        <f t="shared" si="353"/>
        <v>830.27613727055063</v>
      </c>
      <c r="AZ60" s="28">
        <f t="shared" si="353"/>
        <v>828.21629450335797</v>
      </c>
      <c r="BA60" s="28">
        <f t="shared" si="353"/>
        <v>826.26662473872102</v>
      </c>
      <c r="BB60" s="28">
        <f t="shared" si="353"/>
        <v>824.46638782286232</v>
      </c>
      <c r="BC60" s="28">
        <f t="shared" si="353"/>
        <v>822.83687486930364</v>
      </c>
      <c r="BD60" s="28">
        <f t="shared" si="353"/>
        <v>821.305166502877</v>
      </c>
      <c r="BE60" s="28">
        <f t="shared" si="353"/>
        <v>819.85569420047455</v>
      </c>
      <c r="BF60" s="28">
        <f t="shared" si="353"/>
        <v>818.53617132410557</v>
      </c>
      <c r="BG60" s="28">
        <f t="shared" si="353"/>
        <v>817.29028327749006</v>
      </c>
      <c r="BH60" s="28">
        <f t="shared" si="353"/>
        <v>816.11733272696267</v>
      </c>
      <c r="BI60" s="28">
        <f t="shared" si="353"/>
        <v>815.05127620179428</v>
      </c>
      <c r="BJ60" s="28">
        <f t="shared" si="353"/>
        <v>814.05991582074762</v>
      </c>
      <c r="BK60" s="28">
        <f t="shared" si="353"/>
        <v>813.14450263232095</v>
      </c>
      <c r="BL60" s="28">
        <f t="shared" si="353"/>
        <v>812.28052763981714</v>
      </c>
      <c r="BM60" s="28">
        <f t="shared" si="353"/>
        <v>811.45644913728165</v>
      </c>
      <c r="BN60" s="28">
        <f t="shared" si="353"/>
        <v>810.6883322049199</v>
      </c>
      <c r="BO60" t="s">
        <v>0</v>
      </c>
    </row>
    <row r="61" spans="2:67" ht="14.4" customHeight="1" x14ac:dyDescent="0.3">
      <c r="C61" s="31" t="s">
        <v>161</v>
      </c>
      <c r="D61" s="31"/>
      <c r="E61" s="31"/>
      <c r="F61" s="31"/>
      <c r="G61" s="39">
        <f>(G59*G$31+G60*G$33)/G$35</f>
        <v>481.77339901477831</v>
      </c>
      <c r="H61" s="39">
        <f t="shared" ref="H61:BN61" si="354">(H59*H$31+H60*H$33)/H$35</f>
        <v>493.0301532377656</v>
      </c>
      <c r="I61" s="39">
        <f t="shared" si="354"/>
        <v>502.26600985221671</v>
      </c>
      <c r="J61" s="39">
        <f t="shared" si="354"/>
        <v>510.90419014947315</v>
      </c>
      <c r="K61" s="39">
        <f t="shared" si="354"/>
        <v>518.9440993788819</v>
      </c>
      <c r="L61" s="39">
        <f t="shared" si="354"/>
        <v>526.19313647246599</v>
      </c>
      <c r="M61" s="39">
        <f t="shared" si="354"/>
        <v>532.25719666397629</v>
      </c>
      <c r="N61" s="39">
        <f t="shared" si="354"/>
        <v>537.82598661435486</v>
      </c>
      <c r="O61" s="39">
        <f t="shared" si="354"/>
        <v>542.4962406015037</v>
      </c>
      <c r="P61" s="39">
        <f t="shared" si="354"/>
        <v>546.72765657987327</v>
      </c>
      <c r="Q61" s="39">
        <f t="shared" si="354"/>
        <v>550.38904450669156</v>
      </c>
      <c r="R61" s="39">
        <f t="shared" si="354"/>
        <v>553.60432103039943</v>
      </c>
      <c r="S61" s="39">
        <f t="shared" si="354"/>
        <v>552.76789614928532</v>
      </c>
      <c r="T61" s="39">
        <f t="shared" si="354"/>
        <v>551.77160911758062</v>
      </c>
      <c r="U61" s="39">
        <f t="shared" si="354"/>
        <v>550.69025462726245</v>
      </c>
      <c r="V61" s="39">
        <f t="shared" si="354"/>
        <v>549.46625823818806</v>
      </c>
      <c r="W61" s="39">
        <f t="shared" si="354"/>
        <v>548.05655201519301</v>
      </c>
      <c r="X61" s="39">
        <f t="shared" si="354"/>
        <v>546.34690034205767</v>
      </c>
      <c r="Y61" s="39">
        <f t="shared" si="354"/>
        <v>544.37086092715219</v>
      </c>
      <c r="Z61" s="39">
        <f t="shared" si="354"/>
        <v>542.16651745747527</v>
      </c>
      <c r="AA61" s="39">
        <f t="shared" si="354"/>
        <v>539.84347622941243</v>
      </c>
      <c r="AB61" s="39">
        <f t="shared" si="354"/>
        <v>537.29654730775383</v>
      </c>
      <c r="AC61" s="39">
        <f t="shared" si="354"/>
        <v>534.51405152224822</v>
      </c>
      <c r="AD61" s="39">
        <f t="shared" si="354"/>
        <v>531.61607142857133</v>
      </c>
      <c r="AE61" s="39">
        <f t="shared" si="354"/>
        <v>523.71146656860935</v>
      </c>
      <c r="AF61" s="39">
        <f t="shared" si="354"/>
        <v>516.23487158383057</v>
      </c>
      <c r="AG61" s="39">
        <f t="shared" si="354"/>
        <v>509.06692252338689</v>
      </c>
      <c r="AH61" s="39">
        <f t="shared" si="354"/>
        <v>502.15337288508022</v>
      </c>
      <c r="AI61" s="39">
        <f t="shared" si="354"/>
        <v>495.55261492434261</v>
      </c>
      <c r="AJ61" s="39">
        <f t="shared" si="354"/>
        <v>489.23693508411111</v>
      </c>
      <c r="AK61" s="39">
        <f t="shared" si="354"/>
        <v>483.17863185883488</v>
      </c>
      <c r="AL61" s="39">
        <f t="shared" si="354"/>
        <v>477.2654232742666</v>
      </c>
      <c r="AM61" s="39">
        <f t="shared" si="354"/>
        <v>471.52511712517401</v>
      </c>
      <c r="AN61" s="39">
        <f t="shared" si="354"/>
        <v>465.95270717408118</v>
      </c>
      <c r="AO61" s="39">
        <f t="shared" si="354"/>
        <v>460.5877726868631</v>
      </c>
      <c r="AP61" s="39">
        <f t="shared" si="354"/>
        <v>455.34744055132609</v>
      </c>
      <c r="AQ61" s="39">
        <f t="shared" si="354"/>
        <v>450.19021250584296</v>
      </c>
      <c r="AR61" s="39">
        <f t="shared" si="354"/>
        <v>445.18158911916413</v>
      </c>
      <c r="AS61" s="39">
        <f t="shared" si="354"/>
        <v>440.2944984210335</v>
      </c>
      <c r="AT61" s="39">
        <f t="shared" si="354"/>
        <v>435.49622132703001</v>
      </c>
      <c r="AU61" s="39">
        <f t="shared" si="354"/>
        <v>430.80641796133546</v>
      </c>
      <c r="AV61" s="39">
        <f t="shared" si="354"/>
        <v>426.23714323047915</v>
      </c>
      <c r="AW61" s="39">
        <f t="shared" si="354"/>
        <v>421.75358715513886</v>
      </c>
      <c r="AX61" s="39">
        <f t="shared" si="354"/>
        <v>417.37216310387038</v>
      </c>
      <c r="AY61" s="39">
        <f t="shared" si="354"/>
        <v>413.08126776270819</v>
      </c>
      <c r="AZ61" s="39">
        <f t="shared" si="354"/>
        <v>408.86879201050141</v>
      </c>
      <c r="BA61" s="39">
        <f t="shared" si="354"/>
        <v>404.72622826908537</v>
      </c>
      <c r="BB61" s="39">
        <f t="shared" si="354"/>
        <v>400.66898900629911</v>
      </c>
      <c r="BC61" s="39">
        <f t="shared" si="354"/>
        <v>396.69348857528928</v>
      </c>
      <c r="BD61" s="39">
        <f t="shared" si="354"/>
        <v>392.77730448910427</v>
      </c>
      <c r="BE61" s="39">
        <f t="shared" si="354"/>
        <v>388.91730423450264</v>
      </c>
      <c r="BF61" s="39">
        <f t="shared" si="354"/>
        <v>385.13777604064876</v>
      </c>
      <c r="BG61" s="39">
        <f t="shared" si="354"/>
        <v>381.41489300753386</v>
      </c>
      <c r="BH61" s="39">
        <f t="shared" si="354"/>
        <v>377.74723697783838</v>
      </c>
      <c r="BI61" s="39">
        <f t="shared" si="354"/>
        <v>374.14445242251179</v>
      </c>
      <c r="BJ61" s="39">
        <f t="shared" si="354"/>
        <v>370.59848013778907</v>
      </c>
      <c r="BK61" s="39">
        <f t="shared" si="354"/>
        <v>367.10866777355903</v>
      </c>
      <c r="BL61" s="39">
        <f t="shared" si="354"/>
        <v>363.66798889466884</v>
      </c>
      <c r="BM61" s="39">
        <f t="shared" si="354"/>
        <v>360.277766924574</v>
      </c>
      <c r="BN61" s="39">
        <f t="shared" si="354"/>
        <v>356.94276086464788</v>
      </c>
      <c r="BO61" t="s">
        <v>0</v>
      </c>
    </row>
    <row r="62" spans="2:67" ht="14.4" customHeight="1" x14ac:dyDescent="0.3">
      <c r="C62" s="25"/>
      <c r="E62" s="63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BO62" t="s">
        <v>0</v>
      </c>
    </row>
    <row r="63" spans="2:67" ht="14.4" customHeight="1" x14ac:dyDescent="0.3">
      <c r="C63" s="89" t="s">
        <v>182</v>
      </c>
      <c r="E63" s="72"/>
      <c r="G63" s="97">
        <f t="shared" ref="G63:AL63" si="355">G41/G51</f>
        <v>3.3333333333333335</v>
      </c>
      <c r="H63" s="97">
        <f t="shared" si="355"/>
        <v>3.3333333333333335</v>
      </c>
      <c r="I63" s="97">
        <f t="shared" si="355"/>
        <v>3.3333333333333335</v>
      </c>
      <c r="J63" s="97">
        <f t="shared" si="355"/>
        <v>3.1666666666666665</v>
      </c>
      <c r="K63" s="97">
        <f t="shared" si="355"/>
        <v>3.1666666666666665</v>
      </c>
      <c r="L63" s="97">
        <f t="shared" si="355"/>
        <v>3.1666666666666665</v>
      </c>
      <c r="M63" s="97">
        <f t="shared" si="355"/>
        <v>3.0083333333333333</v>
      </c>
      <c r="N63" s="97">
        <f t="shared" si="355"/>
        <v>3.0083333333333333</v>
      </c>
      <c r="O63" s="97">
        <f t="shared" si="355"/>
        <v>3.0083333333333333</v>
      </c>
      <c r="P63" s="97">
        <f t="shared" si="355"/>
        <v>2.8579166666666667</v>
      </c>
      <c r="Q63" s="97">
        <f t="shared" si="355"/>
        <v>2.8579166666666667</v>
      </c>
      <c r="R63" s="97">
        <f t="shared" si="355"/>
        <v>2.8579166666666667</v>
      </c>
      <c r="S63" s="97">
        <f t="shared" si="355"/>
        <v>2.7150208333333334</v>
      </c>
      <c r="T63" s="97">
        <f t="shared" si="355"/>
        <v>2.7150208333333334</v>
      </c>
      <c r="U63" s="97">
        <f t="shared" si="355"/>
        <v>2.7150208333333334</v>
      </c>
      <c r="V63" s="97">
        <f t="shared" si="355"/>
        <v>2.5792697916666669</v>
      </c>
      <c r="W63" s="97">
        <f t="shared" si="355"/>
        <v>2.5792697916666669</v>
      </c>
      <c r="X63" s="97">
        <f t="shared" si="355"/>
        <v>2.5792697916666669</v>
      </c>
      <c r="Y63" s="97">
        <f t="shared" si="355"/>
        <v>2.4503063020833333</v>
      </c>
      <c r="Z63" s="97">
        <f t="shared" si="355"/>
        <v>2.4503063020833333</v>
      </c>
      <c r="AA63" s="97">
        <f t="shared" si="355"/>
        <v>2.4503063020833333</v>
      </c>
      <c r="AB63" s="97">
        <f t="shared" si="355"/>
        <v>2.3277909869791666</v>
      </c>
      <c r="AC63" s="97">
        <f t="shared" si="355"/>
        <v>2.3277909869791666</v>
      </c>
      <c r="AD63" s="97">
        <f t="shared" si="355"/>
        <v>2.3277909869791666</v>
      </c>
      <c r="AE63" s="97">
        <f t="shared" si="355"/>
        <v>2.2114014376302085</v>
      </c>
      <c r="AF63" s="97">
        <f t="shared" si="355"/>
        <v>2.2114014376302085</v>
      </c>
      <c r="AG63" s="97">
        <f t="shared" si="355"/>
        <v>2.2114014376302085</v>
      </c>
      <c r="AH63" s="97">
        <f t="shared" si="355"/>
        <v>2.1008313657486979</v>
      </c>
      <c r="AI63" s="97">
        <f t="shared" si="355"/>
        <v>2.1008313657486979</v>
      </c>
      <c r="AJ63" s="97">
        <f t="shared" si="355"/>
        <v>2.1008313657486979</v>
      </c>
      <c r="AK63" s="97">
        <f t="shared" si="355"/>
        <v>1.9957897974612631</v>
      </c>
      <c r="AL63" s="97">
        <f t="shared" si="355"/>
        <v>1.9957897974612631</v>
      </c>
      <c r="AM63" s="97">
        <f t="shared" ref="AM63:BN63" si="356">AM41/AM51</f>
        <v>1.9957897974612631</v>
      </c>
      <c r="AN63" s="97">
        <f t="shared" si="356"/>
        <v>1.8960003075881999</v>
      </c>
      <c r="AO63" s="97">
        <f t="shared" si="356"/>
        <v>1.8960003075881999</v>
      </c>
      <c r="AP63" s="97">
        <f t="shared" si="356"/>
        <v>1.8960003075881999</v>
      </c>
      <c r="AQ63" s="97">
        <f t="shared" si="356"/>
        <v>1.80120029220879</v>
      </c>
      <c r="AR63" s="97">
        <f t="shared" si="356"/>
        <v>1.80120029220879</v>
      </c>
      <c r="AS63" s="97">
        <f t="shared" si="356"/>
        <v>1.80120029220879</v>
      </c>
      <c r="AT63" s="97">
        <f t="shared" si="356"/>
        <v>1.7111402775983504</v>
      </c>
      <c r="AU63" s="97">
        <f t="shared" si="356"/>
        <v>1.7111402775983504</v>
      </c>
      <c r="AV63" s="97">
        <f t="shared" si="356"/>
        <v>1.7111402775983504</v>
      </c>
      <c r="AW63" s="97">
        <f t="shared" si="356"/>
        <v>1.6255832637184329</v>
      </c>
      <c r="AX63" s="97">
        <f t="shared" si="356"/>
        <v>1.6255832637184329</v>
      </c>
      <c r="AY63" s="97">
        <f t="shared" si="356"/>
        <v>1.6255832637184329</v>
      </c>
      <c r="AZ63" s="97">
        <f t="shared" si="356"/>
        <v>1.5443041005325111</v>
      </c>
      <c r="BA63" s="97">
        <f t="shared" si="356"/>
        <v>1.5443041005325111</v>
      </c>
      <c r="BB63" s="97">
        <f t="shared" si="356"/>
        <v>1.5443041005325111</v>
      </c>
      <c r="BC63" s="97">
        <f t="shared" si="356"/>
        <v>1.4670888955058856</v>
      </c>
      <c r="BD63" s="97">
        <f t="shared" si="356"/>
        <v>1.4670888955058856</v>
      </c>
      <c r="BE63" s="97">
        <f t="shared" si="356"/>
        <v>1.4670888955058856</v>
      </c>
      <c r="BF63" s="97">
        <f t="shared" si="356"/>
        <v>1.3937344507305913</v>
      </c>
      <c r="BG63" s="97">
        <f t="shared" si="356"/>
        <v>1.3937344507305913</v>
      </c>
      <c r="BH63" s="97">
        <f t="shared" si="356"/>
        <v>1.3937344507305913</v>
      </c>
      <c r="BI63" s="97">
        <f t="shared" si="356"/>
        <v>1.3240477281940619</v>
      </c>
      <c r="BJ63" s="97">
        <f t="shared" si="356"/>
        <v>1.3240477281940619</v>
      </c>
      <c r="BK63" s="97">
        <f t="shared" si="356"/>
        <v>1.3240477281940619</v>
      </c>
      <c r="BL63" s="97">
        <f t="shared" si="356"/>
        <v>1.2578453417843589</v>
      </c>
      <c r="BM63" s="97">
        <f t="shared" si="356"/>
        <v>1.2578453417843589</v>
      </c>
      <c r="BN63" s="97">
        <f t="shared" si="356"/>
        <v>1.2578453417843589</v>
      </c>
      <c r="BO63" t="s">
        <v>0</v>
      </c>
    </row>
    <row r="64" spans="2:67" ht="14.4" customHeight="1" x14ac:dyDescent="0.3">
      <c r="C64" t="s">
        <v>183</v>
      </c>
      <c r="E64" s="90"/>
      <c r="G64" s="97">
        <f t="shared" ref="G64:AL64" si="357">G42/G52</f>
        <v>7.2727272727272725</v>
      </c>
      <c r="H64" s="97">
        <f t="shared" si="357"/>
        <v>7.2727272727272725</v>
      </c>
      <c r="I64" s="97">
        <f t="shared" si="357"/>
        <v>7.2727272727272725</v>
      </c>
      <c r="J64" s="97">
        <f t="shared" si="357"/>
        <v>7.0545454545454547</v>
      </c>
      <c r="K64" s="97">
        <f t="shared" si="357"/>
        <v>7.0545454545454547</v>
      </c>
      <c r="L64" s="97">
        <f t="shared" si="357"/>
        <v>7.0545454545454547</v>
      </c>
      <c r="M64" s="97">
        <f t="shared" si="357"/>
        <v>6.8429090909090915</v>
      </c>
      <c r="N64" s="97">
        <f t="shared" si="357"/>
        <v>6.8429090909090915</v>
      </c>
      <c r="O64" s="97">
        <f t="shared" si="357"/>
        <v>6.8429090909090915</v>
      </c>
      <c r="P64" s="97">
        <f t="shared" si="357"/>
        <v>6.6376218181818185</v>
      </c>
      <c r="Q64" s="97">
        <f t="shared" si="357"/>
        <v>6.6376218181818185</v>
      </c>
      <c r="R64" s="97">
        <f t="shared" si="357"/>
        <v>6.6376218181818185</v>
      </c>
      <c r="S64" s="97">
        <f t="shared" si="357"/>
        <v>6.4384931636363643</v>
      </c>
      <c r="T64" s="97">
        <f t="shared" si="357"/>
        <v>6.4384931636363643</v>
      </c>
      <c r="U64" s="97">
        <f t="shared" si="357"/>
        <v>6.4384931636363643</v>
      </c>
      <c r="V64" s="97">
        <f t="shared" si="357"/>
        <v>6.2453383687272739</v>
      </c>
      <c r="W64" s="97">
        <f t="shared" si="357"/>
        <v>6.2453383687272739</v>
      </c>
      <c r="X64" s="97">
        <f t="shared" si="357"/>
        <v>6.2453383687272739</v>
      </c>
      <c r="Y64" s="97">
        <f t="shared" si="357"/>
        <v>6.0579782176654549</v>
      </c>
      <c r="Z64" s="97">
        <f t="shared" si="357"/>
        <v>6.0579782176654549</v>
      </c>
      <c r="AA64" s="97">
        <f t="shared" si="357"/>
        <v>6.0579782176654549</v>
      </c>
      <c r="AB64" s="97">
        <f t="shared" si="357"/>
        <v>5.8762388711354916</v>
      </c>
      <c r="AC64" s="97">
        <f t="shared" si="357"/>
        <v>5.8762388711354916</v>
      </c>
      <c r="AD64" s="97">
        <f t="shared" si="357"/>
        <v>5.8762388711354916</v>
      </c>
      <c r="AE64" s="97">
        <f t="shared" si="357"/>
        <v>5.7670757682595397</v>
      </c>
      <c r="AF64" s="97">
        <f t="shared" si="357"/>
        <v>5.8289020034331305</v>
      </c>
      <c r="AG64" s="97">
        <f t="shared" si="357"/>
        <v>5.8872358324514726</v>
      </c>
      <c r="AH64" s="97">
        <f t="shared" si="357"/>
        <v>5.7636937550429366</v>
      </c>
      <c r="AI64" s="97">
        <f t="shared" si="357"/>
        <v>5.8131968148679505</v>
      </c>
      <c r="AJ64" s="97">
        <f t="shared" si="357"/>
        <v>5.8590399093051966</v>
      </c>
      <c r="AK64" s="97">
        <f t="shared" si="357"/>
        <v>5.7242074898969602</v>
      </c>
      <c r="AL64" s="97">
        <f t="shared" si="357"/>
        <v>5.762858275871344</v>
      </c>
      <c r="AM64" s="97">
        <f t="shared" ref="AM64:BN64" si="358">AM42/AM52</f>
        <v>5.7990329899980164</v>
      </c>
      <c r="AN64" s="97">
        <f t="shared" si="358"/>
        <v>5.6585408956032817</v>
      </c>
      <c r="AO64" s="97">
        <f t="shared" si="358"/>
        <v>5.6891947009829247</v>
      </c>
      <c r="AP64" s="97">
        <f t="shared" si="358"/>
        <v>5.7179649067367304</v>
      </c>
      <c r="AQ64" s="97">
        <f t="shared" si="358"/>
        <v>5.573169373671031</v>
      </c>
      <c r="AR64" s="97">
        <f t="shared" si="358"/>
        <v>5.5976716305204999</v>
      </c>
      <c r="AS64" s="97">
        <f t="shared" si="358"/>
        <v>5.62053936544251</v>
      </c>
      <c r="AT64" s="97">
        <f t="shared" si="358"/>
        <v>5.4730536843746007</v>
      </c>
      <c r="AU64" s="97">
        <f t="shared" si="358"/>
        <v>5.4928139016143964</v>
      </c>
      <c r="AV64" s="97">
        <f t="shared" si="358"/>
        <v>5.5110235211673828</v>
      </c>
      <c r="AW64" s="97">
        <f t="shared" si="358"/>
        <v>5.3622531940783764</v>
      </c>
      <c r="AX64" s="97">
        <f t="shared" si="358"/>
        <v>5.3774868934662514</v>
      </c>
      <c r="AY64" s="97">
        <f t="shared" si="358"/>
        <v>5.3916900846856599</v>
      </c>
      <c r="AZ64" s="97">
        <f t="shared" si="358"/>
        <v>5.2429466761100407</v>
      </c>
      <c r="BA64" s="97">
        <f t="shared" si="358"/>
        <v>5.2553180031199487</v>
      </c>
      <c r="BB64" s="97">
        <f t="shared" si="358"/>
        <v>5.2667930827757443</v>
      </c>
      <c r="BC64" s="97">
        <f t="shared" si="358"/>
        <v>5.1189065305132084</v>
      </c>
      <c r="BD64" s="97">
        <f t="shared" si="358"/>
        <v>5.1284531305828622</v>
      </c>
      <c r="BE64" s="97">
        <f t="shared" si="358"/>
        <v>5.1375200320138497</v>
      </c>
      <c r="BF64" s="97">
        <f t="shared" si="358"/>
        <v>4.9914279220390645</v>
      </c>
      <c r="BG64" s="97">
        <f t="shared" si="358"/>
        <v>4.9990369203482983</v>
      </c>
      <c r="BH64" s="97">
        <f t="shared" si="358"/>
        <v>5.0062216998802276</v>
      </c>
      <c r="BI64" s="97">
        <f t="shared" si="358"/>
        <v>4.862386560747507</v>
      </c>
      <c r="BJ64" s="97">
        <f t="shared" si="358"/>
        <v>4.8683079644427121</v>
      </c>
      <c r="BK64" s="97">
        <f t="shared" si="358"/>
        <v>4.8737885565165033</v>
      </c>
      <c r="BL64" s="97">
        <f t="shared" si="358"/>
        <v>4.7326033430123049</v>
      </c>
      <c r="BM64" s="97">
        <f t="shared" si="358"/>
        <v>4.7374095611157543</v>
      </c>
      <c r="BN64" s="97">
        <f t="shared" si="358"/>
        <v>4.7418981967046356</v>
      </c>
      <c r="BO64" t="s">
        <v>0</v>
      </c>
    </row>
    <row r="65" spans="2:67" ht="14.4" customHeight="1" x14ac:dyDescent="0.3">
      <c r="C65" s="31" t="s">
        <v>180</v>
      </c>
      <c r="D65" s="31"/>
      <c r="E65" s="87"/>
      <c r="F65" s="31"/>
      <c r="G65" s="98">
        <f>G43/G53</f>
        <v>4.7477744807121667</v>
      </c>
      <c r="H65" s="98">
        <f t="shared" ref="H65:BN65" si="359">H43/H53</f>
        <v>4.733663941788758</v>
      </c>
      <c r="I65" s="98">
        <f t="shared" si="359"/>
        <v>4.7141098183528634</v>
      </c>
      <c r="J65" s="98">
        <f t="shared" si="359"/>
        <v>4.5061820462782274</v>
      </c>
      <c r="K65" s="98">
        <f t="shared" si="359"/>
        <v>4.4920951565219793</v>
      </c>
      <c r="L65" s="98">
        <f t="shared" si="359"/>
        <v>4.4750116889867542</v>
      </c>
      <c r="M65" s="98">
        <f t="shared" si="359"/>
        <v>4.2737217996846182</v>
      </c>
      <c r="N65" s="98">
        <f t="shared" si="359"/>
        <v>4.2578030271228338</v>
      </c>
      <c r="O65" s="98">
        <f t="shared" si="359"/>
        <v>4.2365481005088288</v>
      </c>
      <c r="P65" s="98">
        <f t="shared" si="359"/>
        <v>4.0534232917931998</v>
      </c>
      <c r="Q65" s="98">
        <f t="shared" si="359"/>
        <v>4.0354528897884894</v>
      </c>
      <c r="R65" s="98">
        <f t="shared" si="359"/>
        <v>4.0208496369995288</v>
      </c>
      <c r="S65" s="98">
        <f t="shared" si="359"/>
        <v>3.8378544166933861</v>
      </c>
      <c r="T65" s="98">
        <f t="shared" si="359"/>
        <v>3.8204245566839687</v>
      </c>
      <c r="U65" s="98">
        <f t="shared" si="359"/>
        <v>3.7995029923076276</v>
      </c>
      <c r="V65" s="98">
        <f t="shared" si="359"/>
        <v>3.6270179196100405</v>
      </c>
      <c r="W65" s="98">
        <f t="shared" si="359"/>
        <v>3.6087997455772363</v>
      </c>
      <c r="X65" s="98">
        <f t="shared" si="359"/>
        <v>3.5888811935420617</v>
      </c>
      <c r="Y65" s="98">
        <f t="shared" si="359"/>
        <v>3.4225961251366162</v>
      </c>
      <c r="Z65" s="98">
        <f t="shared" si="359"/>
        <v>3.404262727504042</v>
      </c>
      <c r="AA65" s="98">
        <f t="shared" si="359"/>
        <v>3.3863723748243428</v>
      </c>
      <c r="AB65" s="98">
        <f t="shared" si="359"/>
        <v>3.229191512189038</v>
      </c>
      <c r="AC65" s="98">
        <f t="shared" si="359"/>
        <v>3.2114283541979978</v>
      </c>
      <c r="AD65" s="98">
        <f t="shared" si="359"/>
        <v>3.1941201975090538</v>
      </c>
      <c r="AE65" s="98">
        <f t="shared" si="359"/>
        <v>3.0590527003394432</v>
      </c>
      <c r="AF65" s="98">
        <f t="shared" si="359"/>
        <v>3.0562549807899266</v>
      </c>
      <c r="AG65" s="98">
        <f t="shared" si="359"/>
        <v>3.0515132083927625</v>
      </c>
      <c r="AH65" s="98">
        <f t="shared" si="359"/>
        <v>2.9172891362721067</v>
      </c>
      <c r="AI65" s="98">
        <f t="shared" si="359"/>
        <v>2.9105585838506269</v>
      </c>
      <c r="AJ65" s="98">
        <f t="shared" si="359"/>
        <v>2.9032339206487792</v>
      </c>
      <c r="AK65" s="98">
        <f t="shared" si="359"/>
        <v>2.7719000617335636</v>
      </c>
      <c r="AL65" s="98">
        <f t="shared" si="359"/>
        <v>2.7623197636255257</v>
      </c>
      <c r="AM65" s="98">
        <f t="shared" si="359"/>
        <v>2.752107704256225</v>
      </c>
      <c r="AN65" s="98">
        <f t="shared" si="359"/>
        <v>2.6259853102938457</v>
      </c>
      <c r="AO65" s="98">
        <f t="shared" si="359"/>
        <v>2.6155288126021694</v>
      </c>
      <c r="AP65" s="98">
        <f t="shared" si="359"/>
        <v>2.6043023952608686</v>
      </c>
      <c r="AQ65" s="98">
        <f t="shared" si="359"/>
        <v>2.4822751612530869</v>
      </c>
      <c r="AR65" s="98">
        <f t="shared" si="359"/>
        <v>2.470961448917846</v>
      </c>
      <c r="AS65" s="98">
        <f t="shared" si="359"/>
        <v>2.4594112134588979</v>
      </c>
      <c r="AT65" s="98">
        <f t="shared" si="359"/>
        <v>2.3423353072540487</v>
      </c>
      <c r="AU65" s="98">
        <f t="shared" si="359"/>
        <v>2.3309679314253371</v>
      </c>
      <c r="AV65" s="98">
        <f t="shared" si="359"/>
        <v>2.319607705639068</v>
      </c>
      <c r="AW65" s="98">
        <f t="shared" si="359"/>
        <v>2.2081530683863799</v>
      </c>
      <c r="AX65" s="98">
        <f t="shared" si="359"/>
        <v>2.1967307426436986</v>
      </c>
      <c r="AY65" s="98">
        <f t="shared" si="359"/>
        <v>2.1854903375808035</v>
      </c>
      <c r="AZ65" s="98">
        <f t="shared" si="359"/>
        <v>2.0795305614565156</v>
      </c>
      <c r="BA65" s="98">
        <f t="shared" si="359"/>
        <v>2.0685514695084306</v>
      </c>
      <c r="BB65" s="98">
        <f t="shared" si="359"/>
        <v>2.0577092110703741</v>
      </c>
      <c r="BC65" s="98">
        <f t="shared" si="359"/>
        <v>1.9571198054915373</v>
      </c>
      <c r="BD65" s="98">
        <f t="shared" si="359"/>
        <v>1.9465143140520951</v>
      </c>
      <c r="BE65" s="98">
        <f t="shared" si="359"/>
        <v>1.9360672682625018</v>
      </c>
      <c r="BF65" s="98">
        <f t="shared" si="359"/>
        <v>1.8408662297289295</v>
      </c>
      <c r="BG65" s="98">
        <f t="shared" si="359"/>
        <v>1.830991554500156</v>
      </c>
      <c r="BH65" s="98">
        <f t="shared" si="359"/>
        <v>1.8211522616329645</v>
      </c>
      <c r="BI65" s="98">
        <f t="shared" si="359"/>
        <v>1.7310411209371752</v>
      </c>
      <c r="BJ65" s="98">
        <f t="shared" si="359"/>
        <v>1.7217140796433101</v>
      </c>
      <c r="BK65" s="98">
        <f t="shared" si="359"/>
        <v>1.7124782467576491</v>
      </c>
      <c r="BL65" s="98">
        <f t="shared" si="359"/>
        <v>1.6273790508243806</v>
      </c>
      <c r="BM65" s="98">
        <f t="shared" si="359"/>
        <v>1.6186758477846708</v>
      </c>
      <c r="BN65" s="98">
        <f t="shared" si="359"/>
        <v>1.6101515730245137</v>
      </c>
      <c r="BO65" t="s">
        <v>0</v>
      </c>
    </row>
    <row r="66" spans="2:67" ht="14.4" customHeight="1" x14ac:dyDescent="0.3">
      <c r="C66" s="25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BO66" t="s">
        <v>0</v>
      </c>
    </row>
    <row r="67" spans="2:67" ht="14.4" customHeight="1" x14ac:dyDescent="0.3">
      <c r="B67" s="22"/>
      <c r="C67" s="4" t="s">
        <v>164</v>
      </c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BO67" t="s">
        <v>0</v>
      </c>
    </row>
    <row r="68" spans="2:67" ht="3" customHeight="1" x14ac:dyDescent="0.3">
      <c r="C68" s="25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BO68" t="s">
        <v>0</v>
      </c>
    </row>
    <row r="69" spans="2:67" ht="14.4" customHeight="1" x14ac:dyDescent="0.3">
      <c r="C69" t="s">
        <v>158</v>
      </c>
      <c r="G69" s="34">
        <f t="shared" ref="G69:AD69" si="360">G20/G31</f>
        <v>360</v>
      </c>
      <c r="H69" s="34">
        <f t="shared" si="360"/>
        <v>360</v>
      </c>
      <c r="I69" s="34">
        <f t="shared" si="360"/>
        <v>360</v>
      </c>
      <c r="J69" s="34">
        <f t="shared" si="360"/>
        <v>360</v>
      </c>
      <c r="K69" s="34">
        <f t="shared" si="360"/>
        <v>360</v>
      </c>
      <c r="L69" s="34">
        <f t="shared" si="360"/>
        <v>360</v>
      </c>
      <c r="M69" s="34">
        <f t="shared" si="360"/>
        <v>360</v>
      </c>
      <c r="N69" s="34">
        <f t="shared" si="360"/>
        <v>360</v>
      </c>
      <c r="O69" s="34">
        <f t="shared" si="360"/>
        <v>360</v>
      </c>
      <c r="P69" s="34">
        <f t="shared" si="360"/>
        <v>360</v>
      </c>
      <c r="Q69" s="34">
        <f t="shared" si="360"/>
        <v>360</v>
      </c>
      <c r="R69" s="34">
        <f t="shared" si="360"/>
        <v>360</v>
      </c>
      <c r="S69" s="34">
        <f t="shared" si="360"/>
        <v>360</v>
      </c>
      <c r="T69" s="34">
        <f t="shared" si="360"/>
        <v>360</v>
      </c>
      <c r="U69" s="34">
        <f t="shared" si="360"/>
        <v>360</v>
      </c>
      <c r="V69" s="34">
        <f t="shared" si="360"/>
        <v>360</v>
      </c>
      <c r="W69" s="34">
        <f t="shared" si="360"/>
        <v>360</v>
      </c>
      <c r="X69" s="34">
        <f t="shared" si="360"/>
        <v>360</v>
      </c>
      <c r="Y69" s="34">
        <f t="shared" si="360"/>
        <v>360</v>
      </c>
      <c r="Z69" s="34">
        <f t="shared" si="360"/>
        <v>360</v>
      </c>
      <c r="AA69" s="34">
        <f t="shared" si="360"/>
        <v>360</v>
      </c>
      <c r="AB69" s="34">
        <f t="shared" si="360"/>
        <v>360</v>
      </c>
      <c r="AC69" s="34">
        <f t="shared" si="360"/>
        <v>360</v>
      </c>
      <c r="AD69" s="34">
        <f t="shared" si="360"/>
        <v>360</v>
      </c>
      <c r="AE69" s="34">
        <f t="shared" ref="AE69:BN69" si="361">AE20/AE31</f>
        <v>360</v>
      </c>
      <c r="AF69" s="34">
        <f t="shared" si="361"/>
        <v>360</v>
      </c>
      <c r="AG69" s="34">
        <f t="shared" si="361"/>
        <v>360</v>
      </c>
      <c r="AH69" s="34">
        <f t="shared" si="361"/>
        <v>360</v>
      </c>
      <c r="AI69" s="34">
        <f t="shared" si="361"/>
        <v>360</v>
      </c>
      <c r="AJ69" s="34">
        <f t="shared" si="361"/>
        <v>360</v>
      </c>
      <c r="AK69" s="34">
        <f t="shared" si="361"/>
        <v>360</v>
      </c>
      <c r="AL69" s="34">
        <f t="shared" si="361"/>
        <v>360</v>
      </c>
      <c r="AM69" s="34">
        <f t="shared" si="361"/>
        <v>360</v>
      </c>
      <c r="AN69" s="34">
        <f t="shared" si="361"/>
        <v>360</v>
      </c>
      <c r="AO69" s="34">
        <f t="shared" si="361"/>
        <v>360</v>
      </c>
      <c r="AP69" s="34">
        <f t="shared" si="361"/>
        <v>360</v>
      </c>
      <c r="AQ69" s="34">
        <f t="shared" si="361"/>
        <v>360</v>
      </c>
      <c r="AR69" s="34">
        <f t="shared" si="361"/>
        <v>360</v>
      </c>
      <c r="AS69" s="34">
        <f t="shared" si="361"/>
        <v>360</v>
      </c>
      <c r="AT69" s="34">
        <f t="shared" si="361"/>
        <v>360</v>
      </c>
      <c r="AU69" s="34">
        <f t="shared" si="361"/>
        <v>360</v>
      </c>
      <c r="AV69" s="34">
        <f t="shared" si="361"/>
        <v>360</v>
      </c>
      <c r="AW69" s="34">
        <f t="shared" si="361"/>
        <v>360</v>
      </c>
      <c r="AX69" s="34">
        <f t="shared" si="361"/>
        <v>360</v>
      </c>
      <c r="AY69" s="34">
        <f t="shared" si="361"/>
        <v>360</v>
      </c>
      <c r="AZ69" s="34">
        <f t="shared" si="361"/>
        <v>360</v>
      </c>
      <c r="BA69" s="34">
        <f t="shared" si="361"/>
        <v>360</v>
      </c>
      <c r="BB69" s="34">
        <f t="shared" si="361"/>
        <v>360</v>
      </c>
      <c r="BC69" s="34">
        <f t="shared" si="361"/>
        <v>360</v>
      </c>
      <c r="BD69" s="34">
        <f t="shared" si="361"/>
        <v>360</v>
      </c>
      <c r="BE69" s="34">
        <f t="shared" si="361"/>
        <v>360</v>
      </c>
      <c r="BF69" s="34">
        <f t="shared" si="361"/>
        <v>360</v>
      </c>
      <c r="BG69" s="34">
        <f t="shared" si="361"/>
        <v>360</v>
      </c>
      <c r="BH69" s="34">
        <f t="shared" si="361"/>
        <v>360</v>
      </c>
      <c r="BI69" s="34">
        <f t="shared" si="361"/>
        <v>360</v>
      </c>
      <c r="BJ69" s="34">
        <f t="shared" si="361"/>
        <v>360</v>
      </c>
      <c r="BK69" s="34">
        <f t="shared" si="361"/>
        <v>360</v>
      </c>
      <c r="BL69" s="34">
        <f t="shared" si="361"/>
        <v>360</v>
      </c>
      <c r="BM69" s="34">
        <f t="shared" si="361"/>
        <v>360</v>
      </c>
      <c r="BN69" s="34">
        <f t="shared" si="361"/>
        <v>360</v>
      </c>
      <c r="BO69" t="s">
        <v>0</v>
      </c>
    </row>
    <row r="70" spans="2:67" ht="14.4" customHeight="1" x14ac:dyDescent="0.3">
      <c r="C70" t="s">
        <v>159</v>
      </c>
      <c r="G70" s="28">
        <f t="shared" ref="G70:AD70" si="362">G23/G33</f>
        <v>330</v>
      </c>
      <c r="H70" s="28">
        <f t="shared" si="362"/>
        <v>330</v>
      </c>
      <c r="I70" s="28">
        <f t="shared" si="362"/>
        <v>330</v>
      </c>
      <c r="J70" s="28">
        <f t="shared" si="362"/>
        <v>330</v>
      </c>
      <c r="K70" s="28">
        <f t="shared" si="362"/>
        <v>330</v>
      </c>
      <c r="L70" s="28">
        <f t="shared" si="362"/>
        <v>330</v>
      </c>
      <c r="M70" s="28">
        <f t="shared" si="362"/>
        <v>330</v>
      </c>
      <c r="N70" s="28">
        <f t="shared" si="362"/>
        <v>330</v>
      </c>
      <c r="O70" s="28">
        <f t="shared" si="362"/>
        <v>330</v>
      </c>
      <c r="P70" s="28">
        <f t="shared" si="362"/>
        <v>330</v>
      </c>
      <c r="Q70" s="28">
        <f t="shared" si="362"/>
        <v>330</v>
      </c>
      <c r="R70" s="28">
        <f t="shared" si="362"/>
        <v>330</v>
      </c>
      <c r="S70" s="28">
        <f t="shared" si="362"/>
        <v>330</v>
      </c>
      <c r="T70" s="28">
        <f t="shared" si="362"/>
        <v>330</v>
      </c>
      <c r="U70" s="28">
        <f t="shared" si="362"/>
        <v>330</v>
      </c>
      <c r="V70" s="28">
        <f t="shared" si="362"/>
        <v>330</v>
      </c>
      <c r="W70" s="28">
        <f t="shared" si="362"/>
        <v>330</v>
      </c>
      <c r="X70" s="28">
        <f t="shared" si="362"/>
        <v>330</v>
      </c>
      <c r="Y70" s="28">
        <f t="shared" si="362"/>
        <v>330</v>
      </c>
      <c r="Z70" s="28">
        <f t="shared" si="362"/>
        <v>330</v>
      </c>
      <c r="AA70" s="28">
        <f t="shared" si="362"/>
        <v>330</v>
      </c>
      <c r="AB70" s="28">
        <f t="shared" si="362"/>
        <v>330</v>
      </c>
      <c r="AC70" s="28">
        <f t="shared" si="362"/>
        <v>330</v>
      </c>
      <c r="AD70" s="28">
        <f t="shared" si="362"/>
        <v>330</v>
      </c>
      <c r="AE70" s="28">
        <f t="shared" ref="AE70:BN70" si="363">AE23/AE33</f>
        <v>326.15906886517945</v>
      </c>
      <c r="AF70" s="28">
        <f t="shared" si="363"/>
        <v>322.69955156950675</v>
      </c>
      <c r="AG70" s="28">
        <f t="shared" si="363"/>
        <v>319.50207468879665</v>
      </c>
      <c r="AH70" s="28">
        <f t="shared" si="363"/>
        <v>316.55993852459017</v>
      </c>
      <c r="AI70" s="28">
        <f t="shared" si="363"/>
        <v>313.86422976501308</v>
      </c>
      <c r="AJ70" s="28">
        <f t="shared" si="363"/>
        <v>311.40845070422534</v>
      </c>
      <c r="AK70" s="28">
        <f t="shared" si="363"/>
        <v>309.18129848917926</v>
      </c>
      <c r="AL70" s="28">
        <f t="shared" si="363"/>
        <v>307.10765731614862</v>
      </c>
      <c r="AM70" s="28">
        <f t="shared" si="363"/>
        <v>305.19190140845069</v>
      </c>
      <c r="AN70" s="28">
        <f t="shared" si="363"/>
        <v>303.38622607557664</v>
      </c>
      <c r="AO70" s="28">
        <f t="shared" si="363"/>
        <v>301.75155846130457</v>
      </c>
      <c r="AP70" s="28">
        <f t="shared" si="363"/>
        <v>300.23328149300153</v>
      </c>
      <c r="AQ70" s="28">
        <f t="shared" si="363"/>
        <v>298.79258187557542</v>
      </c>
      <c r="AR70" s="28">
        <f t="shared" si="363"/>
        <v>297.48470012239903</v>
      </c>
      <c r="AS70" s="28">
        <f t="shared" si="363"/>
        <v>296.2743534237211</v>
      </c>
      <c r="AT70" s="28">
        <f t="shared" si="363"/>
        <v>295.13049013367282</v>
      </c>
      <c r="AU70" s="28">
        <f t="shared" si="363"/>
        <v>294.06876790830944</v>
      </c>
      <c r="AV70" s="28">
        <f t="shared" si="363"/>
        <v>293.0971007823286</v>
      </c>
      <c r="AW70" s="28">
        <f t="shared" si="363"/>
        <v>292.19192179058399</v>
      </c>
      <c r="AX70" s="28">
        <f t="shared" si="363"/>
        <v>291.36418125149845</v>
      </c>
      <c r="AY70" s="28">
        <f t="shared" si="363"/>
        <v>290.59664804469276</v>
      </c>
      <c r="AZ70" s="28">
        <f t="shared" si="363"/>
        <v>289.87570307617528</v>
      </c>
      <c r="BA70" s="28">
        <f t="shared" si="363"/>
        <v>289.19331865855236</v>
      </c>
      <c r="BB70" s="28">
        <f t="shared" si="363"/>
        <v>288.56323573800182</v>
      </c>
      <c r="BC70" s="28">
        <f t="shared" si="363"/>
        <v>287.99290620425626</v>
      </c>
      <c r="BD70" s="28">
        <f t="shared" si="363"/>
        <v>287.45680827600694</v>
      </c>
      <c r="BE70" s="28">
        <f t="shared" si="363"/>
        <v>286.94949297016609</v>
      </c>
      <c r="BF70" s="28">
        <f t="shared" si="363"/>
        <v>286.48765996343695</v>
      </c>
      <c r="BG70" s="28">
        <f t="shared" si="363"/>
        <v>286.05159914712152</v>
      </c>
      <c r="BH70" s="28">
        <f t="shared" si="363"/>
        <v>285.64106645443695</v>
      </c>
      <c r="BI70" s="28">
        <f t="shared" si="363"/>
        <v>285.26794667062802</v>
      </c>
      <c r="BJ70" s="28">
        <f t="shared" si="363"/>
        <v>284.92097053726172</v>
      </c>
      <c r="BK70" s="28">
        <f t="shared" si="363"/>
        <v>284.60057592131233</v>
      </c>
      <c r="BL70" s="28">
        <f t="shared" si="363"/>
        <v>284.29818467393602</v>
      </c>
      <c r="BM70" s="28">
        <f t="shared" si="363"/>
        <v>284.00975719804853</v>
      </c>
      <c r="BN70" s="28">
        <f t="shared" si="363"/>
        <v>283.74091627172197</v>
      </c>
      <c r="BO70" t="s">
        <v>0</v>
      </c>
    </row>
    <row r="71" spans="2:67" ht="14.4" customHeight="1" x14ac:dyDescent="0.3">
      <c r="C71" s="31" t="s">
        <v>160</v>
      </c>
      <c r="D71" s="31"/>
      <c r="E71" s="31"/>
      <c r="F71" s="31"/>
      <c r="G71" s="39">
        <f t="shared" ref="G71:AD71" si="364">G26/G35</f>
        <v>348.62068965517244</v>
      </c>
      <c r="H71" s="39">
        <f t="shared" si="364"/>
        <v>348.16608996539793</v>
      </c>
      <c r="I71" s="39">
        <f t="shared" si="364"/>
        <v>347.79310344827587</v>
      </c>
      <c r="J71" s="39">
        <f t="shared" si="364"/>
        <v>347.44425385934818</v>
      </c>
      <c r="K71" s="39">
        <f t="shared" si="364"/>
        <v>347.11956521739131</v>
      </c>
      <c r="L71" s="39">
        <f t="shared" si="364"/>
        <v>346.82681564245809</v>
      </c>
      <c r="M71" s="39">
        <f t="shared" si="364"/>
        <v>346.58192090395482</v>
      </c>
      <c r="N71" s="39">
        <f t="shared" si="364"/>
        <v>346.35702746365104</v>
      </c>
      <c r="O71" s="39">
        <f t="shared" si="364"/>
        <v>346.16842105263157</v>
      </c>
      <c r="P71" s="39">
        <f t="shared" si="364"/>
        <v>345.99753694581278</v>
      </c>
      <c r="Q71" s="39">
        <f t="shared" si="364"/>
        <v>345.84967320261438</v>
      </c>
      <c r="R71" s="39">
        <f t="shared" si="364"/>
        <v>345.71982549684924</v>
      </c>
      <c r="S71" s="39">
        <f t="shared" si="364"/>
        <v>345.75360419397117</v>
      </c>
      <c r="T71" s="39">
        <f t="shared" si="364"/>
        <v>345.79383886255926</v>
      </c>
      <c r="U71" s="39">
        <f t="shared" si="364"/>
        <v>345.83750894774516</v>
      </c>
      <c r="V71" s="39">
        <f t="shared" si="364"/>
        <v>345.88693957115009</v>
      </c>
      <c r="W71" s="39">
        <f t="shared" si="364"/>
        <v>345.94387001477105</v>
      </c>
      <c r="X71" s="39">
        <f t="shared" si="364"/>
        <v>346.01291364003231</v>
      </c>
      <c r="Y71" s="39">
        <f t="shared" si="364"/>
        <v>346.09271523178808</v>
      </c>
      <c r="Z71" s="39">
        <f t="shared" si="364"/>
        <v>346.18173679498659</v>
      </c>
      <c r="AA71" s="39">
        <f t="shared" si="364"/>
        <v>346.27555192150447</v>
      </c>
      <c r="AB71" s="39">
        <f t="shared" si="364"/>
        <v>346.37840866641761</v>
      </c>
      <c r="AC71" s="39">
        <f t="shared" si="364"/>
        <v>346.49077868852459</v>
      </c>
      <c r="AD71" s="39">
        <f t="shared" si="364"/>
        <v>346.60781250000002</v>
      </c>
      <c r="AE71" s="39">
        <f t="shared" ref="AE71:BN71" si="365">AE26/AE35</f>
        <v>345.03217503217502</v>
      </c>
      <c r="AF71" s="39">
        <f t="shared" si="365"/>
        <v>343.66243289249707</v>
      </c>
      <c r="AG71" s="39">
        <f t="shared" si="365"/>
        <v>342.44183257375869</v>
      </c>
      <c r="AH71" s="39">
        <f t="shared" si="365"/>
        <v>341.36783124588004</v>
      </c>
      <c r="AI71" s="39">
        <f t="shared" si="365"/>
        <v>340.42992347966168</v>
      </c>
      <c r="AJ71" s="39">
        <f t="shared" si="365"/>
        <v>339.62347729789587</v>
      </c>
      <c r="AK71" s="39">
        <f t="shared" si="365"/>
        <v>338.94162436548226</v>
      </c>
      <c r="AL71" s="39">
        <f t="shared" si="365"/>
        <v>338.3523388410519</v>
      </c>
      <c r="AM71" s="39">
        <f t="shared" si="365"/>
        <v>337.85373835099949</v>
      </c>
      <c r="AN71" s="39">
        <f t="shared" si="365"/>
        <v>337.42023879428461</v>
      </c>
      <c r="AO71" s="39">
        <f t="shared" si="365"/>
        <v>337.07635232168502</v>
      </c>
      <c r="AP71" s="39">
        <f t="shared" si="365"/>
        <v>336.79984633115635</v>
      </c>
      <c r="AQ71" s="39">
        <f t="shared" si="365"/>
        <v>336.57387364711803</v>
      </c>
      <c r="AR71" s="39">
        <f t="shared" si="365"/>
        <v>336.41749007295226</v>
      </c>
      <c r="AS71" s="39">
        <f t="shared" si="365"/>
        <v>336.3140509867028</v>
      </c>
      <c r="AT71" s="39">
        <f t="shared" si="365"/>
        <v>336.25029130738756</v>
      </c>
      <c r="AU71" s="39">
        <f t="shared" si="365"/>
        <v>336.23018558757525</v>
      </c>
      <c r="AV71" s="39">
        <f t="shared" si="365"/>
        <v>336.25441003528027</v>
      </c>
      <c r="AW71" s="39">
        <f t="shared" si="365"/>
        <v>336.31399215169398</v>
      </c>
      <c r="AX71" s="39">
        <f t="shared" si="365"/>
        <v>336.41067897165459</v>
      </c>
      <c r="AY71" s="39">
        <f t="shared" si="365"/>
        <v>336.53638881893727</v>
      </c>
      <c r="AZ71" s="39">
        <f t="shared" si="365"/>
        <v>336.68513644549108</v>
      </c>
      <c r="BA71" s="39">
        <f t="shared" si="365"/>
        <v>336.85333333333335</v>
      </c>
      <c r="BB71" s="39">
        <f t="shared" si="365"/>
        <v>337.04417156491883</v>
      </c>
      <c r="BC71" s="39">
        <f t="shared" si="365"/>
        <v>337.25997439726905</v>
      </c>
      <c r="BD71" s="39">
        <f t="shared" si="365"/>
        <v>337.49144588913873</v>
      </c>
      <c r="BE71" s="39">
        <f t="shared" si="365"/>
        <v>337.73593920300999</v>
      </c>
      <c r="BF71" s="39">
        <f t="shared" si="365"/>
        <v>337.99658002735976</v>
      </c>
      <c r="BG71" s="39">
        <f t="shared" si="365"/>
        <v>338.26737016242231</v>
      </c>
      <c r="BH71" s="39">
        <f t="shared" si="365"/>
        <v>338.54776309596241</v>
      </c>
      <c r="BI71" s="39">
        <f t="shared" si="365"/>
        <v>338.84050808605497</v>
      </c>
      <c r="BJ71" s="39">
        <f t="shared" si="365"/>
        <v>339.14150071260735</v>
      </c>
      <c r="BK71" s="39">
        <f t="shared" si="365"/>
        <v>339.4503624274704</v>
      </c>
      <c r="BL71" s="39">
        <f t="shared" si="365"/>
        <v>339.7642366353661</v>
      </c>
      <c r="BM71" s="39">
        <f t="shared" si="365"/>
        <v>340.08108927211845</v>
      </c>
      <c r="BN71" s="39">
        <f t="shared" si="365"/>
        <v>340.40193252405504</v>
      </c>
      <c r="BO71" t="s">
        <v>0</v>
      </c>
    </row>
    <row r="72" spans="2:67" ht="14.4" customHeight="1" x14ac:dyDescent="0.3">
      <c r="C72" s="25"/>
      <c r="E72" s="63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t="s">
        <v>0</v>
      </c>
    </row>
    <row r="73" spans="2:67" ht="14.4" customHeight="1" x14ac:dyDescent="0.3">
      <c r="C73" t="s">
        <v>176</v>
      </c>
      <c r="E73" s="85">
        <f>1-Assumptions!$E$9</f>
        <v>0.15000000000000002</v>
      </c>
      <c r="G73" s="48">
        <f>1/$E73/12</f>
        <v>0.55555555555555547</v>
      </c>
      <c r="H73" s="48">
        <f t="shared" ref="H73:BN73" si="366">1/$E73/12</f>
        <v>0.55555555555555547</v>
      </c>
      <c r="I73" s="48">
        <f t="shared" si="366"/>
        <v>0.55555555555555547</v>
      </c>
      <c r="J73" s="48">
        <f t="shared" si="366"/>
        <v>0.55555555555555547</v>
      </c>
      <c r="K73" s="48">
        <f t="shared" si="366"/>
        <v>0.55555555555555547</v>
      </c>
      <c r="L73" s="48">
        <f t="shared" si="366"/>
        <v>0.55555555555555547</v>
      </c>
      <c r="M73" s="48">
        <f t="shared" si="366"/>
        <v>0.55555555555555547</v>
      </c>
      <c r="N73" s="48">
        <f t="shared" si="366"/>
        <v>0.55555555555555547</v>
      </c>
      <c r="O73" s="48">
        <f t="shared" si="366"/>
        <v>0.55555555555555547</v>
      </c>
      <c r="P73" s="48">
        <f t="shared" si="366"/>
        <v>0.55555555555555547</v>
      </c>
      <c r="Q73" s="48">
        <f t="shared" si="366"/>
        <v>0.55555555555555547</v>
      </c>
      <c r="R73" s="48">
        <f t="shared" si="366"/>
        <v>0.55555555555555547</v>
      </c>
      <c r="S73" s="48">
        <f t="shared" si="366"/>
        <v>0.55555555555555547</v>
      </c>
      <c r="T73" s="48">
        <f t="shared" si="366"/>
        <v>0.55555555555555547</v>
      </c>
      <c r="U73" s="48">
        <f t="shared" si="366"/>
        <v>0.55555555555555547</v>
      </c>
      <c r="V73" s="48">
        <f t="shared" si="366"/>
        <v>0.55555555555555547</v>
      </c>
      <c r="W73" s="48">
        <f t="shared" si="366"/>
        <v>0.55555555555555547</v>
      </c>
      <c r="X73" s="48">
        <f t="shared" si="366"/>
        <v>0.55555555555555547</v>
      </c>
      <c r="Y73" s="48">
        <f t="shared" si="366"/>
        <v>0.55555555555555547</v>
      </c>
      <c r="Z73" s="48">
        <f t="shared" si="366"/>
        <v>0.55555555555555547</v>
      </c>
      <c r="AA73" s="48">
        <f t="shared" si="366"/>
        <v>0.55555555555555547</v>
      </c>
      <c r="AB73" s="48">
        <f t="shared" si="366"/>
        <v>0.55555555555555547</v>
      </c>
      <c r="AC73" s="48">
        <f t="shared" si="366"/>
        <v>0.55555555555555547</v>
      </c>
      <c r="AD73" s="48">
        <f t="shared" si="366"/>
        <v>0.55555555555555547</v>
      </c>
      <c r="AE73" s="48">
        <f t="shared" si="366"/>
        <v>0.55555555555555547</v>
      </c>
      <c r="AF73" s="48">
        <f t="shared" si="366"/>
        <v>0.55555555555555547</v>
      </c>
      <c r="AG73" s="48">
        <f t="shared" si="366"/>
        <v>0.55555555555555547</v>
      </c>
      <c r="AH73" s="48">
        <f t="shared" si="366"/>
        <v>0.55555555555555547</v>
      </c>
      <c r="AI73" s="48">
        <f t="shared" si="366"/>
        <v>0.55555555555555547</v>
      </c>
      <c r="AJ73" s="48">
        <f t="shared" si="366"/>
        <v>0.55555555555555547</v>
      </c>
      <c r="AK73" s="48">
        <f t="shared" si="366"/>
        <v>0.55555555555555547</v>
      </c>
      <c r="AL73" s="48">
        <f t="shared" si="366"/>
        <v>0.55555555555555547</v>
      </c>
      <c r="AM73" s="48">
        <f t="shared" si="366"/>
        <v>0.55555555555555547</v>
      </c>
      <c r="AN73" s="48">
        <f t="shared" si="366"/>
        <v>0.55555555555555547</v>
      </c>
      <c r="AO73" s="48">
        <f t="shared" si="366"/>
        <v>0.55555555555555547</v>
      </c>
      <c r="AP73" s="48">
        <f t="shared" si="366"/>
        <v>0.55555555555555547</v>
      </c>
      <c r="AQ73" s="48">
        <f t="shared" si="366"/>
        <v>0.55555555555555547</v>
      </c>
      <c r="AR73" s="48">
        <f t="shared" si="366"/>
        <v>0.55555555555555547</v>
      </c>
      <c r="AS73" s="48">
        <f t="shared" si="366"/>
        <v>0.55555555555555547</v>
      </c>
      <c r="AT73" s="48">
        <f t="shared" si="366"/>
        <v>0.55555555555555547</v>
      </c>
      <c r="AU73" s="48">
        <f t="shared" si="366"/>
        <v>0.55555555555555547</v>
      </c>
      <c r="AV73" s="48">
        <f t="shared" si="366"/>
        <v>0.55555555555555547</v>
      </c>
      <c r="AW73" s="48">
        <f t="shared" si="366"/>
        <v>0.55555555555555547</v>
      </c>
      <c r="AX73" s="48">
        <f t="shared" si="366"/>
        <v>0.55555555555555547</v>
      </c>
      <c r="AY73" s="48">
        <f t="shared" si="366"/>
        <v>0.55555555555555547</v>
      </c>
      <c r="AZ73" s="48">
        <f t="shared" si="366"/>
        <v>0.55555555555555547</v>
      </c>
      <c r="BA73" s="48">
        <f t="shared" si="366"/>
        <v>0.55555555555555547</v>
      </c>
      <c r="BB73" s="48">
        <f t="shared" si="366"/>
        <v>0.55555555555555547</v>
      </c>
      <c r="BC73" s="48">
        <f t="shared" si="366"/>
        <v>0.55555555555555547</v>
      </c>
      <c r="BD73" s="48">
        <f t="shared" si="366"/>
        <v>0.55555555555555547</v>
      </c>
      <c r="BE73" s="48">
        <f t="shared" si="366"/>
        <v>0.55555555555555547</v>
      </c>
      <c r="BF73" s="48">
        <f t="shared" si="366"/>
        <v>0.55555555555555547</v>
      </c>
      <c r="BG73" s="48">
        <f t="shared" si="366"/>
        <v>0.55555555555555547</v>
      </c>
      <c r="BH73" s="48">
        <f t="shared" si="366"/>
        <v>0.55555555555555547</v>
      </c>
      <c r="BI73" s="48">
        <f t="shared" si="366"/>
        <v>0.55555555555555547</v>
      </c>
      <c r="BJ73" s="48">
        <f t="shared" si="366"/>
        <v>0.55555555555555547</v>
      </c>
      <c r="BK73" s="48">
        <f t="shared" si="366"/>
        <v>0.55555555555555547</v>
      </c>
      <c r="BL73" s="48">
        <f t="shared" si="366"/>
        <v>0.55555555555555547</v>
      </c>
      <c r="BM73" s="48">
        <f t="shared" si="366"/>
        <v>0.55555555555555547</v>
      </c>
      <c r="BN73" s="48">
        <f t="shared" si="366"/>
        <v>0.55555555555555547</v>
      </c>
      <c r="BO73" t="s">
        <v>0</v>
      </c>
    </row>
    <row r="74" spans="2:67" ht="14.4" customHeight="1" x14ac:dyDescent="0.3">
      <c r="C74" t="s">
        <v>177</v>
      </c>
      <c r="E74" s="85">
        <f>1-Assumptions!$E$16</f>
        <v>0.35</v>
      </c>
      <c r="G74" s="48">
        <f>(1/$E74)</f>
        <v>2.8571428571428572</v>
      </c>
      <c r="H74" s="48">
        <f t="shared" ref="H74:BN74" si="367">(1/$E74)</f>
        <v>2.8571428571428572</v>
      </c>
      <c r="I74" s="48">
        <f t="shared" si="367"/>
        <v>2.8571428571428572</v>
      </c>
      <c r="J74" s="48">
        <f t="shared" si="367"/>
        <v>2.8571428571428572</v>
      </c>
      <c r="K74" s="48">
        <f t="shared" si="367"/>
        <v>2.8571428571428572</v>
      </c>
      <c r="L74" s="48">
        <f t="shared" si="367"/>
        <v>2.8571428571428572</v>
      </c>
      <c r="M74" s="48">
        <f t="shared" si="367"/>
        <v>2.8571428571428572</v>
      </c>
      <c r="N74" s="48">
        <f t="shared" si="367"/>
        <v>2.8571428571428572</v>
      </c>
      <c r="O74" s="48">
        <f t="shared" si="367"/>
        <v>2.8571428571428572</v>
      </c>
      <c r="P74" s="48">
        <f t="shared" si="367"/>
        <v>2.8571428571428572</v>
      </c>
      <c r="Q74" s="48">
        <f t="shared" si="367"/>
        <v>2.8571428571428572</v>
      </c>
      <c r="R74" s="48">
        <f t="shared" si="367"/>
        <v>2.8571428571428572</v>
      </c>
      <c r="S74" s="48">
        <f t="shared" si="367"/>
        <v>2.8571428571428572</v>
      </c>
      <c r="T74" s="48">
        <f t="shared" si="367"/>
        <v>2.8571428571428572</v>
      </c>
      <c r="U74" s="48">
        <f t="shared" si="367"/>
        <v>2.8571428571428572</v>
      </c>
      <c r="V74" s="48">
        <f t="shared" si="367"/>
        <v>2.8571428571428572</v>
      </c>
      <c r="W74" s="48">
        <f t="shared" si="367"/>
        <v>2.8571428571428572</v>
      </c>
      <c r="X74" s="48">
        <f t="shared" si="367"/>
        <v>2.8571428571428572</v>
      </c>
      <c r="Y74" s="48">
        <f t="shared" si="367"/>
        <v>2.8571428571428572</v>
      </c>
      <c r="Z74" s="48">
        <f t="shared" si="367"/>
        <v>2.8571428571428572</v>
      </c>
      <c r="AA74" s="48">
        <f t="shared" si="367"/>
        <v>2.8571428571428572</v>
      </c>
      <c r="AB74" s="48">
        <f t="shared" si="367"/>
        <v>2.8571428571428572</v>
      </c>
      <c r="AC74" s="48">
        <f t="shared" si="367"/>
        <v>2.8571428571428572</v>
      </c>
      <c r="AD74" s="48">
        <f t="shared" si="367"/>
        <v>2.8571428571428572</v>
      </c>
      <c r="AE74" s="48">
        <f t="shared" si="367"/>
        <v>2.8571428571428572</v>
      </c>
      <c r="AF74" s="48">
        <f t="shared" si="367"/>
        <v>2.8571428571428572</v>
      </c>
      <c r="AG74" s="48">
        <f t="shared" si="367"/>
        <v>2.8571428571428572</v>
      </c>
      <c r="AH74" s="48">
        <f t="shared" si="367"/>
        <v>2.8571428571428572</v>
      </c>
      <c r="AI74" s="48">
        <f t="shared" si="367"/>
        <v>2.8571428571428572</v>
      </c>
      <c r="AJ74" s="48">
        <f t="shared" si="367"/>
        <v>2.8571428571428572</v>
      </c>
      <c r="AK74" s="48">
        <f t="shared" si="367"/>
        <v>2.8571428571428572</v>
      </c>
      <c r="AL74" s="48">
        <f t="shared" si="367"/>
        <v>2.8571428571428572</v>
      </c>
      <c r="AM74" s="48">
        <f t="shared" si="367"/>
        <v>2.8571428571428572</v>
      </c>
      <c r="AN74" s="48">
        <f t="shared" si="367"/>
        <v>2.8571428571428572</v>
      </c>
      <c r="AO74" s="48">
        <f t="shared" si="367"/>
        <v>2.8571428571428572</v>
      </c>
      <c r="AP74" s="48">
        <f t="shared" si="367"/>
        <v>2.8571428571428572</v>
      </c>
      <c r="AQ74" s="48">
        <f t="shared" si="367"/>
        <v>2.8571428571428572</v>
      </c>
      <c r="AR74" s="48">
        <f t="shared" si="367"/>
        <v>2.8571428571428572</v>
      </c>
      <c r="AS74" s="48">
        <f t="shared" si="367"/>
        <v>2.8571428571428572</v>
      </c>
      <c r="AT74" s="48">
        <f t="shared" si="367"/>
        <v>2.8571428571428572</v>
      </c>
      <c r="AU74" s="48">
        <f t="shared" si="367"/>
        <v>2.8571428571428572</v>
      </c>
      <c r="AV74" s="48">
        <f t="shared" si="367"/>
        <v>2.8571428571428572</v>
      </c>
      <c r="AW74" s="48">
        <f t="shared" si="367"/>
        <v>2.8571428571428572</v>
      </c>
      <c r="AX74" s="48">
        <f t="shared" si="367"/>
        <v>2.8571428571428572</v>
      </c>
      <c r="AY74" s="48">
        <f t="shared" si="367"/>
        <v>2.8571428571428572</v>
      </c>
      <c r="AZ74" s="48">
        <f t="shared" si="367"/>
        <v>2.8571428571428572</v>
      </c>
      <c r="BA74" s="48">
        <f t="shared" si="367"/>
        <v>2.8571428571428572</v>
      </c>
      <c r="BB74" s="48">
        <f t="shared" si="367"/>
        <v>2.8571428571428572</v>
      </c>
      <c r="BC74" s="48">
        <f t="shared" si="367"/>
        <v>2.8571428571428572</v>
      </c>
      <c r="BD74" s="48">
        <f t="shared" si="367"/>
        <v>2.8571428571428572</v>
      </c>
      <c r="BE74" s="48">
        <f t="shared" si="367"/>
        <v>2.8571428571428572</v>
      </c>
      <c r="BF74" s="48">
        <f t="shared" si="367"/>
        <v>2.8571428571428572</v>
      </c>
      <c r="BG74" s="48">
        <f t="shared" si="367"/>
        <v>2.8571428571428572</v>
      </c>
      <c r="BH74" s="48">
        <f t="shared" si="367"/>
        <v>2.8571428571428572</v>
      </c>
      <c r="BI74" s="48">
        <f t="shared" si="367"/>
        <v>2.8571428571428572</v>
      </c>
      <c r="BJ74" s="48">
        <f t="shared" si="367"/>
        <v>2.8571428571428572</v>
      </c>
      <c r="BK74" s="48">
        <f t="shared" si="367"/>
        <v>2.8571428571428572</v>
      </c>
      <c r="BL74" s="48">
        <f t="shared" si="367"/>
        <v>2.8571428571428572</v>
      </c>
      <c r="BM74" s="48">
        <f t="shared" si="367"/>
        <v>2.8571428571428572</v>
      </c>
      <c r="BN74" s="48">
        <f t="shared" si="367"/>
        <v>2.8571428571428572</v>
      </c>
      <c r="BO74" t="s">
        <v>0</v>
      </c>
    </row>
    <row r="75" spans="2:67" ht="14.4" customHeight="1" x14ac:dyDescent="0.3">
      <c r="C75" s="31" t="s">
        <v>181</v>
      </c>
      <c r="D75" s="31"/>
      <c r="E75" s="31"/>
      <c r="F75" s="31"/>
      <c r="G75" s="91">
        <f>(G73*G$31+G74*G$33)/G$35</f>
        <v>1.4285714285714286</v>
      </c>
      <c r="H75" s="91">
        <f t="shared" ref="H75:AD75" si="368">(H73*H$31+H74*H$33)/H$35</f>
        <v>1.4634481243477784</v>
      </c>
      <c r="I75" s="91">
        <f t="shared" si="368"/>
        <v>1.4920634920634921</v>
      </c>
      <c r="J75" s="91">
        <f t="shared" si="368"/>
        <v>1.5188270848648204</v>
      </c>
      <c r="K75" s="91">
        <f t="shared" si="368"/>
        <v>1.5437370600414078</v>
      </c>
      <c r="L75" s="91">
        <f t="shared" si="368"/>
        <v>1.5661966835151193</v>
      </c>
      <c r="M75" s="91">
        <f t="shared" si="368"/>
        <v>1.5849849041939437</v>
      </c>
      <c r="N75" s="91">
        <f t="shared" si="368"/>
        <v>1.602238633741057</v>
      </c>
      <c r="O75" s="91">
        <f t="shared" si="368"/>
        <v>1.6167084377610694</v>
      </c>
      <c r="P75" s="91">
        <f t="shared" si="368"/>
        <v>1.6298185941043082</v>
      </c>
      <c r="Q75" s="91">
        <f t="shared" si="368"/>
        <v>1.641162637894664</v>
      </c>
      <c r="R75" s="91">
        <f t="shared" si="368"/>
        <v>1.6511244989189728</v>
      </c>
      <c r="S75" s="91">
        <f t="shared" si="368"/>
        <v>1.6485330115736407</v>
      </c>
      <c r="T75" s="91">
        <f t="shared" si="368"/>
        <v>1.6454462248301109</v>
      </c>
      <c r="U75" s="91">
        <f t="shared" si="368"/>
        <v>1.6420958743793388</v>
      </c>
      <c r="V75" s="91">
        <f t="shared" si="368"/>
        <v>1.6383035778747279</v>
      </c>
      <c r="W75" s="91">
        <f t="shared" si="368"/>
        <v>1.6339358983376708</v>
      </c>
      <c r="X75" s="91">
        <f t="shared" si="368"/>
        <v>1.6286389006324438</v>
      </c>
      <c r="Y75" s="91">
        <f t="shared" si="368"/>
        <v>1.6225165562913908</v>
      </c>
      <c r="Z75" s="91">
        <f t="shared" si="368"/>
        <v>1.6156868596438874</v>
      </c>
      <c r="AA75" s="91">
        <f t="shared" si="368"/>
        <v>1.6084894028475387</v>
      </c>
      <c r="AB75" s="91">
        <f t="shared" si="368"/>
        <v>1.6005982769150495</v>
      </c>
      <c r="AC75" s="91">
        <f t="shared" si="368"/>
        <v>1.5919772963830341</v>
      </c>
      <c r="AD75" s="91">
        <f t="shared" si="368"/>
        <v>1.582998511904762</v>
      </c>
      <c r="AE75" s="91">
        <f t="shared" ref="AE75:BN75" si="369">(AE73*AE$31+AE74*AE$33)/AE$35</f>
        <v>1.5735463354510972</v>
      </c>
      <c r="AF75" s="91">
        <f t="shared" si="369"/>
        <v>1.5636489854114575</v>
      </c>
      <c r="AG75" s="91">
        <f t="shared" si="369"/>
        <v>1.5534253199160852</v>
      </c>
      <c r="AH75" s="91">
        <f t="shared" si="369"/>
        <v>1.5427448354277622</v>
      </c>
      <c r="AI75" s="91">
        <f t="shared" si="369"/>
        <v>1.5318531090782399</v>
      </c>
      <c r="AJ75" s="91">
        <f t="shared" si="369"/>
        <v>1.5207099204884367</v>
      </c>
      <c r="AK75" s="91">
        <f t="shared" si="369"/>
        <v>1.5092928316278569</v>
      </c>
      <c r="AL75" s="91">
        <f t="shared" si="369"/>
        <v>1.4975441214677891</v>
      </c>
      <c r="AM75" s="91">
        <f t="shared" si="369"/>
        <v>1.4855559733556463</v>
      </c>
      <c r="AN75" s="91">
        <f t="shared" si="369"/>
        <v>1.4735175294971732</v>
      </c>
      <c r="AO75" s="91">
        <f t="shared" si="369"/>
        <v>1.4613441914183896</v>
      </c>
      <c r="AP75" s="91">
        <f t="shared" si="369"/>
        <v>1.4489822052524428</v>
      </c>
      <c r="AQ75" s="91">
        <f t="shared" si="369"/>
        <v>1.4364500057930714</v>
      </c>
      <c r="AR75" s="91">
        <f t="shared" si="369"/>
        <v>1.4237783025298032</v>
      </c>
      <c r="AS75" s="91">
        <f t="shared" si="369"/>
        <v>1.4110239957195154</v>
      </c>
      <c r="AT75" s="91">
        <f t="shared" si="369"/>
        <v>1.3982014774370868</v>
      </c>
      <c r="AU75" s="91">
        <f t="shared" si="369"/>
        <v>1.3853338150705727</v>
      </c>
      <c r="AV75" s="91">
        <f t="shared" si="369"/>
        <v>1.3724491277411701</v>
      </c>
      <c r="AW75" s="91">
        <f t="shared" si="369"/>
        <v>1.3595219313698776</v>
      </c>
      <c r="AX75" s="91">
        <f t="shared" si="369"/>
        <v>1.3465839532912705</v>
      </c>
      <c r="AY75" s="91">
        <f t="shared" si="369"/>
        <v>1.3336671023651632</v>
      </c>
      <c r="AZ75" s="91">
        <f t="shared" si="369"/>
        <v>1.3207852441125747</v>
      </c>
      <c r="BA75" s="91">
        <f t="shared" si="369"/>
        <v>1.3079432266733853</v>
      </c>
      <c r="BB75" s="91">
        <f t="shared" si="369"/>
        <v>1.2951585284705229</v>
      </c>
      <c r="BC75" s="91">
        <f t="shared" si="369"/>
        <v>1.2824027508260492</v>
      </c>
      <c r="BD75" s="91">
        <f t="shared" si="369"/>
        <v>1.2696873863654583</v>
      </c>
      <c r="BE75" s="91">
        <f t="shared" si="369"/>
        <v>1.2570247403100472</v>
      </c>
      <c r="BF75" s="91">
        <f t="shared" si="369"/>
        <v>1.2444574729116453</v>
      </c>
      <c r="BG75" s="91">
        <f t="shared" si="369"/>
        <v>1.231967003096941</v>
      </c>
      <c r="BH75" s="91">
        <f t="shared" si="369"/>
        <v>1.2195537289387381</v>
      </c>
      <c r="BI75" s="91">
        <f t="shared" si="369"/>
        <v>1.2072226211255883</v>
      </c>
      <c r="BJ75" s="91">
        <f t="shared" si="369"/>
        <v>1.1949838677430065</v>
      </c>
      <c r="BK75" s="91">
        <f t="shared" si="369"/>
        <v>1.1828386610577399</v>
      </c>
      <c r="BL75" s="91">
        <f t="shared" si="369"/>
        <v>1.1707901545854604</v>
      </c>
      <c r="BM75" s="91">
        <f t="shared" si="369"/>
        <v>1.1588581678689083</v>
      </c>
      <c r="BN75" s="91">
        <f t="shared" si="369"/>
        <v>1.1470478871315215</v>
      </c>
      <c r="BO75" t="s">
        <v>0</v>
      </c>
    </row>
    <row r="76" spans="2:67" ht="14.4" customHeight="1" x14ac:dyDescent="0.3">
      <c r="C76" s="25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BO76" t="s">
        <v>0</v>
      </c>
    </row>
    <row r="77" spans="2:67" ht="14.4" customHeight="1" x14ac:dyDescent="0.3">
      <c r="C77" t="s">
        <v>192</v>
      </c>
      <c r="D77" s="5"/>
      <c r="E77" s="5"/>
      <c r="F77" s="5"/>
      <c r="G77" s="38">
        <f>G73*G69</f>
        <v>199.99999999999997</v>
      </c>
      <c r="H77" s="38">
        <f t="shared" ref="H77:AD77" si="370">H73*H69</f>
        <v>199.99999999999997</v>
      </c>
      <c r="I77" s="38">
        <f t="shared" si="370"/>
        <v>199.99999999999997</v>
      </c>
      <c r="J77" s="38">
        <f t="shared" si="370"/>
        <v>199.99999999999997</v>
      </c>
      <c r="K77" s="38">
        <f t="shared" si="370"/>
        <v>199.99999999999997</v>
      </c>
      <c r="L77" s="38">
        <f t="shared" si="370"/>
        <v>199.99999999999997</v>
      </c>
      <c r="M77" s="38">
        <f t="shared" si="370"/>
        <v>199.99999999999997</v>
      </c>
      <c r="N77" s="38">
        <f t="shared" si="370"/>
        <v>199.99999999999997</v>
      </c>
      <c r="O77" s="38">
        <f t="shared" si="370"/>
        <v>199.99999999999997</v>
      </c>
      <c r="P77" s="38">
        <f t="shared" si="370"/>
        <v>199.99999999999997</v>
      </c>
      <c r="Q77" s="38">
        <f t="shared" si="370"/>
        <v>199.99999999999997</v>
      </c>
      <c r="R77" s="38">
        <f t="shared" si="370"/>
        <v>199.99999999999997</v>
      </c>
      <c r="S77" s="38">
        <f t="shared" si="370"/>
        <v>199.99999999999997</v>
      </c>
      <c r="T77" s="38">
        <f t="shared" si="370"/>
        <v>199.99999999999997</v>
      </c>
      <c r="U77" s="38">
        <f t="shared" si="370"/>
        <v>199.99999999999997</v>
      </c>
      <c r="V77" s="38">
        <f t="shared" si="370"/>
        <v>199.99999999999997</v>
      </c>
      <c r="W77" s="38">
        <f t="shared" si="370"/>
        <v>199.99999999999997</v>
      </c>
      <c r="X77" s="38">
        <f t="shared" si="370"/>
        <v>199.99999999999997</v>
      </c>
      <c r="Y77" s="38">
        <f t="shared" si="370"/>
        <v>199.99999999999997</v>
      </c>
      <c r="Z77" s="38">
        <f t="shared" si="370"/>
        <v>199.99999999999997</v>
      </c>
      <c r="AA77" s="38">
        <f t="shared" si="370"/>
        <v>199.99999999999997</v>
      </c>
      <c r="AB77" s="38">
        <f t="shared" si="370"/>
        <v>199.99999999999997</v>
      </c>
      <c r="AC77" s="38">
        <f t="shared" si="370"/>
        <v>199.99999999999997</v>
      </c>
      <c r="AD77" s="38">
        <f t="shared" si="370"/>
        <v>199.99999999999997</v>
      </c>
      <c r="AE77" s="38">
        <f t="shared" ref="AE77:BN77" si="371">AE73*AE69</f>
        <v>199.99999999999997</v>
      </c>
      <c r="AF77" s="38">
        <f t="shared" si="371"/>
        <v>199.99999999999997</v>
      </c>
      <c r="AG77" s="38">
        <f t="shared" si="371"/>
        <v>199.99999999999997</v>
      </c>
      <c r="AH77" s="38">
        <f t="shared" si="371"/>
        <v>199.99999999999997</v>
      </c>
      <c r="AI77" s="38">
        <f t="shared" si="371"/>
        <v>199.99999999999997</v>
      </c>
      <c r="AJ77" s="38">
        <f t="shared" si="371"/>
        <v>199.99999999999997</v>
      </c>
      <c r="AK77" s="38">
        <f t="shared" si="371"/>
        <v>199.99999999999997</v>
      </c>
      <c r="AL77" s="38">
        <f t="shared" si="371"/>
        <v>199.99999999999997</v>
      </c>
      <c r="AM77" s="38">
        <f t="shared" si="371"/>
        <v>199.99999999999997</v>
      </c>
      <c r="AN77" s="38">
        <f t="shared" si="371"/>
        <v>199.99999999999997</v>
      </c>
      <c r="AO77" s="38">
        <f t="shared" si="371"/>
        <v>199.99999999999997</v>
      </c>
      <c r="AP77" s="38">
        <f t="shared" si="371"/>
        <v>199.99999999999997</v>
      </c>
      <c r="AQ77" s="38">
        <f t="shared" si="371"/>
        <v>199.99999999999997</v>
      </c>
      <c r="AR77" s="38">
        <f t="shared" si="371"/>
        <v>199.99999999999997</v>
      </c>
      <c r="AS77" s="38">
        <f t="shared" si="371"/>
        <v>199.99999999999997</v>
      </c>
      <c r="AT77" s="38">
        <f t="shared" si="371"/>
        <v>199.99999999999997</v>
      </c>
      <c r="AU77" s="38">
        <f t="shared" si="371"/>
        <v>199.99999999999997</v>
      </c>
      <c r="AV77" s="38">
        <f t="shared" si="371"/>
        <v>199.99999999999997</v>
      </c>
      <c r="AW77" s="38">
        <f t="shared" si="371"/>
        <v>199.99999999999997</v>
      </c>
      <c r="AX77" s="38">
        <f t="shared" si="371"/>
        <v>199.99999999999997</v>
      </c>
      <c r="AY77" s="38">
        <f t="shared" si="371"/>
        <v>199.99999999999997</v>
      </c>
      <c r="AZ77" s="38">
        <f t="shared" si="371"/>
        <v>199.99999999999997</v>
      </c>
      <c r="BA77" s="38">
        <f t="shared" si="371"/>
        <v>199.99999999999997</v>
      </c>
      <c r="BB77" s="38">
        <f t="shared" si="371"/>
        <v>199.99999999999997</v>
      </c>
      <c r="BC77" s="38">
        <f t="shared" si="371"/>
        <v>199.99999999999997</v>
      </c>
      <c r="BD77" s="38">
        <f t="shared" si="371"/>
        <v>199.99999999999997</v>
      </c>
      <c r="BE77" s="38">
        <f t="shared" si="371"/>
        <v>199.99999999999997</v>
      </c>
      <c r="BF77" s="38">
        <f t="shared" si="371"/>
        <v>199.99999999999997</v>
      </c>
      <c r="BG77" s="38">
        <f t="shared" si="371"/>
        <v>199.99999999999997</v>
      </c>
      <c r="BH77" s="38">
        <f t="shared" si="371"/>
        <v>199.99999999999997</v>
      </c>
      <c r="BI77" s="38">
        <f t="shared" si="371"/>
        <v>199.99999999999997</v>
      </c>
      <c r="BJ77" s="38">
        <f t="shared" si="371"/>
        <v>199.99999999999997</v>
      </c>
      <c r="BK77" s="38">
        <f t="shared" si="371"/>
        <v>199.99999999999997</v>
      </c>
      <c r="BL77" s="38">
        <f t="shared" si="371"/>
        <v>199.99999999999997</v>
      </c>
      <c r="BM77" s="38">
        <f t="shared" si="371"/>
        <v>199.99999999999997</v>
      </c>
      <c r="BN77" s="38">
        <f t="shared" si="371"/>
        <v>199.99999999999997</v>
      </c>
      <c r="BO77" t="s">
        <v>0</v>
      </c>
    </row>
    <row r="78" spans="2:67" ht="14.4" customHeight="1" x14ac:dyDescent="0.3">
      <c r="C78" t="s">
        <v>193</v>
      </c>
      <c r="D78" s="5"/>
      <c r="E78" s="5"/>
      <c r="F78" s="5"/>
      <c r="G78" s="41">
        <f>G74*G70</f>
        <v>942.85714285714289</v>
      </c>
      <c r="H78" s="41">
        <f t="shared" ref="H78:AD78" si="372">H74*H70</f>
        <v>942.85714285714289</v>
      </c>
      <c r="I78" s="41">
        <f t="shared" si="372"/>
        <v>942.85714285714289</v>
      </c>
      <c r="J78" s="41">
        <f t="shared" si="372"/>
        <v>942.85714285714289</v>
      </c>
      <c r="K78" s="41">
        <f t="shared" si="372"/>
        <v>942.85714285714289</v>
      </c>
      <c r="L78" s="41">
        <f t="shared" si="372"/>
        <v>942.85714285714289</v>
      </c>
      <c r="M78" s="41">
        <f t="shared" si="372"/>
        <v>942.85714285714289</v>
      </c>
      <c r="N78" s="41">
        <f t="shared" si="372"/>
        <v>942.85714285714289</v>
      </c>
      <c r="O78" s="41">
        <f t="shared" si="372"/>
        <v>942.85714285714289</v>
      </c>
      <c r="P78" s="41">
        <f t="shared" si="372"/>
        <v>942.85714285714289</v>
      </c>
      <c r="Q78" s="41">
        <f t="shared" si="372"/>
        <v>942.85714285714289</v>
      </c>
      <c r="R78" s="41">
        <f t="shared" si="372"/>
        <v>942.85714285714289</v>
      </c>
      <c r="S78" s="41">
        <f t="shared" si="372"/>
        <v>942.85714285714289</v>
      </c>
      <c r="T78" s="41">
        <f t="shared" si="372"/>
        <v>942.85714285714289</v>
      </c>
      <c r="U78" s="41">
        <f t="shared" si="372"/>
        <v>942.85714285714289</v>
      </c>
      <c r="V78" s="41">
        <f t="shared" si="372"/>
        <v>942.85714285714289</v>
      </c>
      <c r="W78" s="41">
        <f t="shared" si="372"/>
        <v>942.85714285714289</v>
      </c>
      <c r="X78" s="41">
        <f t="shared" si="372"/>
        <v>942.85714285714289</v>
      </c>
      <c r="Y78" s="41">
        <f t="shared" si="372"/>
        <v>942.85714285714289</v>
      </c>
      <c r="Z78" s="41">
        <f t="shared" si="372"/>
        <v>942.85714285714289</v>
      </c>
      <c r="AA78" s="41">
        <f t="shared" si="372"/>
        <v>942.85714285714289</v>
      </c>
      <c r="AB78" s="41">
        <f t="shared" si="372"/>
        <v>942.85714285714289</v>
      </c>
      <c r="AC78" s="41">
        <f t="shared" si="372"/>
        <v>942.85714285714289</v>
      </c>
      <c r="AD78" s="41">
        <f t="shared" si="372"/>
        <v>942.85714285714289</v>
      </c>
      <c r="AE78" s="41">
        <f t="shared" ref="AE78:BN78" si="373">AE74*AE70</f>
        <v>931.88305390051278</v>
      </c>
      <c r="AF78" s="41">
        <f t="shared" si="373"/>
        <v>921.99871877001931</v>
      </c>
      <c r="AG78" s="41">
        <f t="shared" si="373"/>
        <v>912.86307053941903</v>
      </c>
      <c r="AH78" s="41">
        <f t="shared" si="373"/>
        <v>904.45696721311481</v>
      </c>
      <c r="AI78" s="41">
        <f t="shared" si="373"/>
        <v>896.7549421857517</v>
      </c>
      <c r="AJ78" s="41">
        <f t="shared" si="373"/>
        <v>889.73843058350099</v>
      </c>
      <c r="AK78" s="41">
        <f t="shared" si="373"/>
        <v>883.37513854051213</v>
      </c>
      <c r="AL78" s="41">
        <f t="shared" si="373"/>
        <v>877.45044947471035</v>
      </c>
      <c r="AM78" s="41">
        <f t="shared" si="373"/>
        <v>871.97686116700197</v>
      </c>
      <c r="AN78" s="41">
        <f t="shared" si="373"/>
        <v>866.81778878736191</v>
      </c>
      <c r="AO78" s="41">
        <f t="shared" si="373"/>
        <v>862.14730988944166</v>
      </c>
      <c r="AP78" s="41">
        <f t="shared" si="373"/>
        <v>857.80937569429011</v>
      </c>
      <c r="AQ78" s="41">
        <f t="shared" si="373"/>
        <v>853.69309107307265</v>
      </c>
      <c r="AR78" s="41">
        <f t="shared" si="373"/>
        <v>849.95628606399725</v>
      </c>
      <c r="AS78" s="41">
        <f t="shared" si="373"/>
        <v>846.49815263920311</v>
      </c>
      <c r="AT78" s="41">
        <f t="shared" si="373"/>
        <v>843.22997181049379</v>
      </c>
      <c r="AU78" s="41">
        <f t="shared" si="373"/>
        <v>840.19647973802694</v>
      </c>
      <c r="AV78" s="41">
        <f t="shared" si="373"/>
        <v>837.42028794951034</v>
      </c>
      <c r="AW78" s="41">
        <f t="shared" si="373"/>
        <v>834.8340622588114</v>
      </c>
      <c r="AX78" s="41">
        <f t="shared" si="373"/>
        <v>832.46908928999562</v>
      </c>
      <c r="AY78" s="41">
        <f t="shared" si="373"/>
        <v>830.27613727055075</v>
      </c>
      <c r="AZ78" s="41">
        <f t="shared" si="373"/>
        <v>828.21629450335797</v>
      </c>
      <c r="BA78" s="41">
        <f t="shared" si="373"/>
        <v>826.26662473872102</v>
      </c>
      <c r="BB78" s="41">
        <f t="shared" si="373"/>
        <v>824.46638782286232</v>
      </c>
      <c r="BC78" s="41">
        <f t="shared" si="373"/>
        <v>822.83687486930364</v>
      </c>
      <c r="BD78" s="41">
        <f t="shared" si="373"/>
        <v>821.305166502877</v>
      </c>
      <c r="BE78" s="41">
        <f t="shared" si="373"/>
        <v>819.85569420047455</v>
      </c>
      <c r="BF78" s="41">
        <f t="shared" si="373"/>
        <v>818.53617132410557</v>
      </c>
      <c r="BG78" s="41">
        <f t="shared" si="373"/>
        <v>817.29028327749006</v>
      </c>
      <c r="BH78" s="41">
        <f t="shared" si="373"/>
        <v>816.11733272696279</v>
      </c>
      <c r="BI78" s="41">
        <f t="shared" si="373"/>
        <v>815.05127620179439</v>
      </c>
      <c r="BJ78" s="41">
        <f t="shared" si="373"/>
        <v>814.05991582074785</v>
      </c>
      <c r="BK78" s="41">
        <f t="shared" si="373"/>
        <v>813.14450263232095</v>
      </c>
      <c r="BL78" s="41">
        <f t="shared" si="373"/>
        <v>812.28052763981725</v>
      </c>
      <c r="BM78" s="41">
        <f t="shared" si="373"/>
        <v>811.45644913728154</v>
      </c>
      <c r="BN78" s="41">
        <f t="shared" si="373"/>
        <v>810.6883322049199</v>
      </c>
      <c r="BO78" t="s">
        <v>0</v>
      </c>
    </row>
    <row r="79" spans="2:67" ht="14.4" customHeight="1" x14ac:dyDescent="0.3">
      <c r="B79" s="22" t="s">
        <v>0</v>
      </c>
      <c r="C79" s="31" t="s">
        <v>162</v>
      </c>
      <c r="D79" s="31"/>
      <c r="E79" s="31"/>
      <c r="F79" s="31"/>
      <c r="G79" s="39">
        <f>(G77*G$31+G78*G$33)/G$35</f>
        <v>481.77339901477831</v>
      </c>
      <c r="H79" s="39">
        <f t="shared" ref="H79:AD79" si="374">(H77*H$31+H78*H$33)/H$35</f>
        <v>493.03015323776572</v>
      </c>
      <c r="I79" s="39">
        <f t="shared" si="374"/>
        <v>502.26600985221677</v>
      </c>
      <c r="J79" s="39">
        <f t="shared" si="374"/>
        <v>510.90419014947315</v>
      </c>
      <c r="K79" s="39">
        <f t="shared" si="374"/>
        <v>518.94409937888202</v>
      </c>
      <c r="L79" s="39">
        <f t="shared" si="374"/>
        <v>526.19313647246611</v>
      </c>
      <c r="M79" s="39">
        <f t="shared" si="374"/>
        <v>532.25719666397629</v>
      </c>
      <c r="N79" s="39">
        <f t="shared" si="374"/>
        <v>537.82598661435497</v>
      </c>
      <c r="O79" s="39">
        <f t="shared" si="374"/>
        <v>542.4962406015037</v>
      </c>
      <c r="P79" s="39">
        <f t="shared" si="374"/>
        <v>546.72765657987338</v>
      </c>
      <c r="Q79" s="39">
        <f t="shared" si="374"/>
        <v>550.38904450669156</v>
      </c>
      <c r="R79" s="39">
        <f t="shared" si="374"/>
        <v>553.60432103039955</v>
      </c>
      <c r="S79" s="39">
        <f t="shared" si="374"/>
        <v>552.76789614928543</v>
      </c>
      <c r="T79" s="39">
        <f t="shared" si="374"/>
        <v>551.77160911758074</v>
      </c>
      <c r="U79" s="39">
        <f t="shared" si="374"/>
        <v>550.69025462726245</v>
      </c>
      <c r="V79" s="39">
        <f t="shared" si="374"/>
        <v>549.46625823818806</v>
      </c>
      <c r="W79" s="39">
        <f t="shared" si="374"/>
        <v>548.05655201519312</v>
      </c>
      <c r="X79" s="39">
        <f t="shared" si="374"/>
        <v>546.34690034205778</v>
      </c>
      <c r="Y79" s="39">
        <f t="shared" si="374"/>
        <v>544.37086092715231</v>
      </c>
      <c r="Z79" s="39">
        <f t="shared" si="374"/>
        <v>542.16651745747538</v>
      </c>
      <c r="AA79" s="39">
        <f t="shared" si="374"/>
        <v>539.84347622941254</v>
      </c>
      <c r="AB79" s="39">
        <f t="shared" si="374"/>
        <v>537.29654730775394</v>
      </c>
      <c r="AC79" s="39">
        <f t="shared" si="374"/>
        <v>534.51405152224822</v>
      </c>
      <c r="AD79" s="39">
        <f t="shared" si="374"/>
        <v>531.61607142857144</v>
      </c>
      <c r="AE79" s="39">
        <f t="shared" ref="AE79:BN79" si="375">(AE77*AE$31+AE78*AE$33)/AE$35</f>
        <v>523.71146656860947</v>
      </c>
      <c r="AF79" s="39">
        <f t="shared" si="375"/>
        <v>516.23487158383068</v>
      </c>
      <c r="AG79" s="39">
        <f t="shared" si="375"/>
        <v>509.06692252338689</v>
      </c>
      <c r="AH79" s="39">
        <f t="shared" si="375"/>
        <v>502.15337288508022</v>
      </c>
      <c r="AI79" s="39">
        <f t="shared" si="375"/>
        <v>495.55261492434272</v>
      </c>
      <c r="AJ79" s="39">
        <f t="shared" si="375"/>
        <v>489.23693508411111</v>
      </c>
      <c r="AK79" s="39">
        <f t="shared" si="375"/>
        <v>483.17863185883488</v>
      </c>
      <c r="AL79" s="39">
        <f t="shared" si="375"/>
        <v>477.26542327426671</v>
      </c>
      <c r="AM79" s="39">
        <f t="shared" si="375"/>
        <v>471.52511712517401</v>
      </c>
      <c r="AN79" s="39">
        <f t="shared" si="375"/>
        <v>465.9527071740813</v>
      </c>
      <c r="AO79" s="39">
        <f t="shared" si="375"/>
        <v>460.58777268686322</v>
      </c>
      <c r="AP79" s="39">
        <f t="shared" si="375"/>
        <v>455.34744055132609</v>
      </c>
      <c r="AQ79" s="39">
        <f t="shared" si="375"/>
        <v>450.19021250584296</v>
      </c>
      <c r="AR79" s="39">
        <f t="shared" si="375"/>
        <v>445.18158911916413</v>
      </c>
      <c r="AS79" s="39">
        <f t="shared" si="375"/>
        <v>440.2944984210335</v>
      </c>
      <c r="AT79" s="39">
        <f t="shared" si="375"/>
        <v>435.49622132703001</v>
      </c>
      <c r="AU79" s="39">
        <f t="shared" si="375"/>
        <v>430.80641796133546</v>
      </c>
      <c r="AV79" s="39">
        <f t="shared" si="375"/>
        <v>426.23714323047921</v>
      </c>
      <c r="AW79" s="39">
        <f t="shared" si="375"/>
        <v>421.75358715513886</v>
      </c>
      <c r="AX79" s="39">
        <f t="shared" si="375"/>
        <v>417.37216310387038</v>
      </c>
      <c r="AY79" s="39">
        <f t="shared" si="375"/>
        <v>413.08126776270819</v>
      </c>
      <c r="AZ79" s="39">
        <f t="shared" si="375"/>
        <v>408.86879201050141</v>
      </c>
      <c r="BA79" s="39">
        <f t="shared" si="375"/>
        <v>404.72622826908537</v>
      </c>
      <c r="BB79" s="39">
        <f t="shared" si="375"/>
        <v>400.66898900629911</v>
      </c>
      <c r="BC79" s="39">
        <f t="shared" si="375"/>
        <v>396.69348857528928</v>
      </c>
      <c r="BD79" s="39">
        <f t="shared" si="375"/>
        <v>392.77730448910427</v>
      </c>
      <c r="BE79" s="39">
        <f t="shared" si="375"/>
        <v>388.91730423450264</v>
      </c>
      <c r="BF79" s="39">
        <f t="shared" si="375"/>
        <v>385.13777604064876</v>
      </c>
      <c r="BG79" s="39">
        <f t="shared" si="375"/>
        <v>381.41489300753386</v>
      </c>
      <c r="BH79" s="39">
        <f t="shared" si="375"/>
        <v>377.74723697783844</v>
      </c>
      <c r="BI79" s="39">
        <f t="shared" si="375"/>
        <v>374.14445242251179</v>
      </c>
      <c r="BJ79" s="39">
        <f t="shared" si="375"/>
        <v>370.59848013778912</v>
      </c>
      <c r="BK79" s="39">
        <f t="shared" si="375"/>
        <v>367.10866777355903</v>
      </c>
      <c r="BL79" s="39">
        <f t="shared" si="375"/>
        <v>363.66798889466889</v>
      </c>
      <c r="BM79" s="39">
        <f t="shared" si="375"/>
        <v>360.27776692457394</v>
      </c>
      <c r="BN79" s="39">
        <f t="shared" si="375"/>
        <v>356.94276086464788</v>
      </c>
      <c r="BO79" t="s">
        <v>0</v>
      </c>
    </row>
    <row r="80" spans="2:67" ht="14.4" customHeight="1" x14ac:dyDescent="0.3">
      <c r="C80" s="25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BO80" t="s">
        <v>0</v>
      </c>
    </row>
    <row r="81" spans="1:67" ht="14.4" customHeight="1" x14ac:dyDescent="0.3">
      <c r="B81" s="22"/>
      <c r="C81" s="4" t="s">
        <v>166</v>
      </c>
      <c r="E81" s="63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BO81" t="s">
        <v>0</v>
      </c>
    </row>
    <row r="82" spans="1:67" ht="3" customHeight="1" x14ac:dyDescent="0.3">
      <c r="C82" s="25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BO82" t="s">
        <v>0</v>
      </c>
    </row>
    <row r="83" spans="1:67" ht="14.4" customHeight="1" x14ac:dyDescent="0.3">
      <c r="C83" s="5" t="s">
        <v>178</v>
      </c>
      <c r="D83" s="5"/>
      <c r="E83" s="72"/>
      <c r="F83" s="5"/>
      <c r="G83" s="92">
        <f>G77/G41</f>
        <v>1.9999999999999998</v>
      </c>
      <c r="H83" s="92">
        <f t="shared" ref="H83:BN83" si="376">H77/H41</f>
        <v>1.9999999999999998</v>
      </c>
      <c r="I83" s="92">
        <f t="shared" si="376"/>
        <v>1.9999999999999998</v>
      </c>
      <c r="J83" s="92">
        <f t="shared" si="376"/>
        <v>2.1052631578947367</v>
      </c>
      <c r="K83" s="92">
        <f t="shared" si="376"/>
        <v>2.1052631578947367</v>
      </c>
      <c r="L83" s="92">
        <f t="shared" si="376"/>
        <v>2.1052631578947367</v>
      </c>
      <c r="M83" s="92">
        <f t="shared" si="376"/>
        <v>2.2160664819944595</v>
      </c>
      <c r="N83" s="92">
        <f t="shared" si="376"/>
        <v>2.2160664819944595</v>
      </c>
      <c r="O83" s="92">
        <f t="shared" si="376"/>
        <v>2.2160664819944595</v>
      </c>
      <c r="P83" s="92">
        <f t="shared" si="376"/>
        <v>2.3327015599941681</v>
      </c>
      <c r="Q83" s="92">
        <f t="shared" si="376"/>
        <v>2.3327015599941681</v>
      </c>
      <c r="R83" s="92">
        <f t="shared" si="376"/>
        <v>2.3327015599941681</v>
      </c>
      <c r="S83" s="92">
        <f t="shared" si="376"/>
        <v>2.4554753263096503</v>
      </c>
      <c r="T83" s="92">
        <f t="shared" si="376"/>
        <v>2.4554753263096503</v>
      </c>
      <c r="U83" s="92">
        <f t="shared" si="376"/>
        <v>2.4554753263096503</v>
      </c>
      <c r="V83" s="92">
        <f t="shared" si="376"/>
        <v>2.5847108697996317</v>
      </c>
      <c r="W83" s="92">
        <f t="shared" si="376"/>
        <v>2.5847108697996317</v>
      </c>
      <c r="X83" s="92">
        <f t="shared" si="376"/>
        <v>2.5847108697996317</v>
      </c>
      <c r="Y83" s="92">
        <f t="shared" si="376"/>
        <v>2.7207482839996127</v>
      </c>
      <c r="Z83" s="92">
        <f t="shared" si="376"/>
        <v>2.7207482839996127</v>
      </c>
      <c r="AA83" s="92">
        <f t="shared" si="376"/>
        <v>2.7207482839996127</v>
      </c>
      <c r="AB83" s="92">
        <f t="shared" si="376"/>
        <v>2.8639455621048553</v>
      </c>
      <c r="AC83" s="92">
        <f t="shared" si="376"/>
        <v>2.8639455621048553</v>
      </c>
      <c r="AD83" s="92">
        <f t="shared" si="376"/>
        <v>2.8639455621048553</v>
      </c>
      <c r="AE83" s="92">
        <f t="shared" si="376"/>
        <v>3.0146795390577426</v>
      </c>
      <c r="AF83" s="92">
        <f t="shared" si="376"/>
        <v>3.0146795390577426</v>
      </c>
      <c r="AG83" s="92">
        <f t="shared" si="376"/>
        <v>3.0146795390577426</v>
      </c>
      <c r="AH83" s="92">
        <f t="shared" si="376"/>
        <v>3.1733468832186764</v>
      </c>
      <c r="AI83" s="92">
        <f t="shared" si="376"/>
        <v>3.1733468832186764</v>
      </c>
      <c r="AJ83" s="92">
        <f t="shared" si="376"/>
        <v>3.1733468832186764</v>
      </c>
      <c r="AK83" s="92">
        <f t="shared" si="376"/>
        <v>3.3403651402301855</v>
      </c>
      <c r="AL83" s="92">
        <f t="shared" si="376"/>
        <v>3.3403651402301855</v>
      </c>
      <c r="AM83" s="92">
        <f t="shared" si="376"/>
        <v>3.3403651402301855</v>
      </c>
      <c r="AN83" s="92">
        <f t="shared" si="376"/>
        <v>3.5161738318212481</v>
      </c>
      <c r="AO83" s="92">
        <f t="shared" si="376"/>
        <v>3.5161738318212481</v>
      </c>
      <c r="AP83" s="92">
        <f t="shared" si="376"/>
        <v>3.5161738318212481</v>
      </c>
      <c r="AQ83" s="92">
        <f t="shared" si="376"/>
        <v>3.7012356124434187</v>
      </c>
      <c r="AR83" s="92">
        <f t="shared" si="376"/>
        <v>3.7012356124434187</v>
      </c>
      <c r="AS83" s="92">
        <f t="shared" si="376"/>
        <v>3.7012356124434187</v>
      </c>
      <c r="AT83" s="92">
        <f t="shared" si="376"/>
        <v>3.896037486782546</v>
      </c>
      <c r="AU83" s="92">
        <f t="shared" si="376"/>
        <v>3.896037486782546</v>
      </c>
      <c r="AV83" s="92">
        <f t="shared" si="376"/>
        <v>3.896037486782546</v>
      </c>
      <c r="AW83" s="92">
        <f t="shared" si="376"/>
        <v>4.1010920913500488</v>
      </c>
      <c r="AX83" s="92">
        <f t="shared" si="376"/>
        <v>4.1010920913500488</v>
      </c>
      <c r="AY83" s="92">
        <f t="shared" si="376"/>
        <v>4.1010920913500488</v>
      </c>
      <c r="AZ83" s="92">
        <f t="shared" si="376"/>
        <v>4.316939043526367</v>
      </c>
      <c r="BA83" s="92">
        <f t="shared" si="376"/>
        <v>4.316939043526367</v>
      </c>
      <c r="BB83" s="92">
        <f t="shared" si="376"/>
        <v>4.316939043526367</v>
      </c>
      <c r="BC83" s="92">
        <f t="shared" si="376"/>
        <v>4.5441463616067024</v>
      </c>
      <c r="BD83" s="92">
        <f t="shared" si="376"/>
        <v>4.5441463616067024</v>
      </c>
      <c r="BE83" s="92">
        <f t="shared" si="376"/>
        <v>4.5441463616067024</v>
      </c>
      <c r="BF83" s="92">
        <f t="shared" si="376"/>
        <v>4.7833119595860021</v>
      </c>
      <c r="BG83" s="92">
        <f t="shared" si="376"/>
        <v>4.7833119595860021</v>
      </c>
      <c r="BH83" s="92">
        <f t="shared" si="376"/>
        <v>4.7833119595860021</v>
      </c>
      <c r="BI83" s="92">
        <f t="shared" si="376"/>
        <v>5.0350652206168443</v>
      </c>
      <c r="BJ83" s="92">
        <f t="shared" si="376"/>
        <v>5.0350652206168443</v>
      </c>
      <c r="BK83" s="92">
        <f t="shared" si="376"/>
        <v>5.0350652206168443</v>
      </c>
      <c r="BL83" s="92">
        <f t="shared" si="376"/>
        <v>5.3000686532808885</v>
      </c>
      <c r="BM83" s="92">
        <f t="shared" si="376"/>
        <v>5.3000686532808885</v>
      </c>
      <c r="BN83" s="92">
        <f t="shared" si="376"/>
        <v>5.3000686532808885</v>
      </c>
      <c r="BO83" t="s">
        <v>0</v>
      </c>
    </row>
    <row r="84" spans="1:67" ht="14.4" customHeight="1" x14ac:dyDescent="0.3">
      <c r="C84" s="5" t="s">
        <v>179</v>
      </c>
      <c r="D84" s="5"/>
      <c r="E84" s="90"/>
      <c r="F84" s="5"/>
      <c r="G84" s="92">
        <f>G78/G42</f>
        <v>4.7142857142857144</v>
      </c>
      <c r="H84" s="92">
        <f t="shared" ref="H84:BN84" si="377">H78/H42</f>
        <v>4.7142857142857144</v>
      </c>
      <c r="I84" s="92">
        <f t="shared" si="377"/>
        <v>4.7142857142857144</v>
      </c>
      <c r="J84" s="92">
        <f t="shared" si="377"/>
        <v>4.8600883652430049</v>
      </c>
      <c r="K84" s="92">
        <f t="shared" si="377"/>
        <v>4.8600883652430049</v>
      </c>
      <c r="L84" s="92">
        <f t="shared" si="377"/>
        <v>4.8600883652430049</v>
      </c>
      <c r="M84" s="92">
        <f t="shared" si="377"/>
        <v>5.01040037653918</v>
      </c>
      <c r="N84" s="92">
        <f t="shared" si="377"/>
        <v>5.01040037653918</v>
      </c>
      <c r="O84" s="92">
        <f t="shared" si="377"/>
        <v>5.01040037653918</v>
      </c>
      <c r="P84" s="92">
        <f t="shared" si="377"/>
        <v>5.1653612129269897</v>
      </c>
      <c r="Q84" s="92">
        <f t="shared" si="377"/>
        <v>5.1653612129269897</v>
      </c>
      <c r="R84" s="92">
        <f t="shared" si="377"/>
        <v>5.1653612129269897</v>
      </c>
      <c r="S84" s="92">
        <f t="shared" si="377"/>
        <v>5.3251146525020507</v>
      </c>
      <c r="T84" s="92">
        <f t="shared" si="377"/>
        <v>5.3251146525020507</v>
      </c>
      <c r="U84" s="92">
        <f t="shared" si="377"/>
        <v>5.3251146525020507</v>
      </c>
      <c r="V84" s="92">
        <f t="shared" si="377"/>
        <v>5.4898089201052072</v>
      </c>
      <c r="W84" s="92">
        <f t="shared" si="377"/>
        <v>5.4898089201052072</v>
      </c>
      <c r="X84" s="92">
        <f t="shared" si="377"/>
        <v>5.4898089201052072</v>
      </c>
      <c r="Y84" s="92">
        <f t="shared" si="377"/>
        <v>5.6595968248507287</v>
      </c>
      <c r="Z84" s="92">
        <f t="shared" si="377"/>
        <v>5.6595968248507287</v>
      </c>
      <c r="AA84" s="92">
        <f t="shared" si="377"/>
        <v>5.6595968248507287</v>
      </c>
      <c r="AB84" s="92">
        <f t="shared" si="377"/>
        <v>5.8346359019079683</v>
      </c>
      <c r="AC84" s="92">
        <f t="shared" si="377"/>
        <v>5.8346359019079683</v>
      </c>
      <c r="AD84" s="92">
        <f t="shared" si="377"/>
        <v>5.8346359019079683</v>
      </c>
      <c r="AE84" s="92">
        <f t="shared" si="377"/>
        <v>5.9450778285962187</v>
      </c>
      <c r="AF84" s="92">
        <f t="shared" si="377"/>
        <v>5.8820193349485974</v>
      </c>
      <c r="AG84" s="92">
        <f t="shared" si="377"/>
        <v>5.8237371937311284</v>
      </c>
      <c r="AH84" s="92">
        <f t="shared" si="377"/>
        <v>5.9485662741390524</v>
      </c>
      <c r="AI84" s="92">
        <f t="shared" si="377"/>
        <v>5.8979104574654091</v>
      </c>
      <c r="AJ84" s="92">
        <f t="shared" si="377"/>
        <v>5.8517632268151099</v>
      </c>
      <c r="AK84" s="92">
        <f t="shared" si="377"/>
        <v>5.9896001929048603</v>
      </c>
      <c r="AL84" s="92">
        <f t="shared" si="377"/>
        <v>5.94942867661105</v>
      </c>
      <c r="AM84" s="92">
        <f t="shared" si="377"/>
        <v>5.9123157852092181</v>
      </c>
      <c r="AN84" s="92">
        <f t="shared" si="377"/>
        <v>6.0591086851302043</v>
      </c>
      <c r="AO84" s="92">
        <f t="shared" si="377"/>
        <v>6.0264617556138012</v>
      </c>
      <c r="AP84" s="92">
        <f t="shared" si="377"/>
        <v>5.9961393336499693</v>
      </c>
      <c r="AQ84" s="92">
        <f t="shared" si="377"/>
        <v>6.1519239748370289</v>
      </c>
      <c r="AR84" s="92">
        <f t="shared" si="377"/>
        <v>6.1249956318938681</v>
      </c>
      <c r="AS84" s="92">
        <f t="shared" si="377"/>
        <v>6.1000754654468903</v>
      </c>
      <c r="AT84" s="92">
        <f t="shared" si="377"/>
        <v>6.2644578809082292</v>
      </c>
      <c r="AU84" s="92">
        <f t="shared" si="377"/>
        <v>6.2419216998481133</v>
      </c>
      <c r="AV84" s="92">
        <f t="shared" si="377"/>
        <v>6.22129703384965</v>
      </c>
      <c r="AW84" s="92">
        <f t="shared" si="377"/>
        <v>6.3939006691397111</v>
      </c>
      <c r="AX84" s="92">
        <f t="shared" si="377"/>
        <v>6.3757876058000402</v>
      </c>
      <c r="AY84" s="92">
        <f t="shared" si="377"/>
        <v>6.3589920316633286</v>
      </c>
      <c r="AZ84" s="92">
        <f t="shared" si="377"/>
        <v>6.5393978622632636</v>
      </c>
      <c r="BA84" s="92">
        <f t="shared" si="377"/>
        <v>6.5240037359032748</v>
      </c>
      <c r="BB84" s="92">
        <f t="shared" si="377"/>
        <v>6.509789495592786</v>
      </c>
      <c r="BC84" s="92">
        <f t="shared" si="377"/>
        <v>6.6978590215197551</v>
      </c>
      <c r="BD84" s="92">
        <f t="shared" si="377"/>
        <v>6.6853909771068967</v>
      </c>
      <c r="BE84" s="92">
        <f t="shared" si="377"/>
        <v>6.673592330943122</v>
      </c>
      <c r="BF84" s="92">
        <f t="shared" si="377"/>
        <v>6.8689190390448669</v>
      </c>
      <c r="BG84" s="92">
        <f t="shared" si="377"/>
        <v>6.8584639065489235</v>
      </c>
      <c r="BH84" s="92">
        <f t="shared" si="377"/>
        <v>6.8486208444453371</v>
      </c>
      <c r="BI84" s="92">
        <f t="shared" si="377"/>
        <v>7.051211140326008</v>
      </c>
      <c r="BJ84" s="92">
        <f t="shared" si="377"/>
        <v>7.0426346353047675</v>
      </c>
      <c r="BK84" s="92">
        <f t="shared" si="377"/>
        <v>7.0347151683206572</v>
      </c>
      <c r="BL84" s="92">
        <f t="shared" si="377"/>
        <v>7.2445780473736905</v>
      </c>
      <c r="BM84" s="92">
        <f t="shared" si="377"/>
        <v>7.2372282453956354</v>
      </c>
      <c r="BN84" s="92">
        <f t="shared" si="377"/>
        <v>7.2303775541914872</v>
      </c>
      <c r="BO84" t="s">
        <v>0</v>
      </c>
    </row>
    <row r="85" spans="1:67" ht="14.4" customHeight="1" x14ac:dyDescent="0.3">
      <c r="B85" s="22" t="s">
        <v>0</v>
      </c>
      <c r="C85" s="31" t="s">
        <v>163</v>
      </c>
      <c r="D85" s="31"/>
      <c r="E85" s="87"/>
      <c r="F85" s="31"/>
      <c r="G85" s="88">
        <f>G79/G43</f>
        <v>3.4928571428571424</v>
      </c>
      <c r="H85" s="88">
        <f t="shared" ref="H85:BN85" si="378">H79/H43</f>
        <v>3.5898048023763587</v>
      </c>
      <c r="I85" s="88">
        <f t="shared" si="378"/>
        <v>3.6761597316843102</v>
      </c>
      <c r="J85" s="88">
        <f t="shared" si="378"/>
        <v>3.9158571832917239</v>
      </c>
      <c r="K85" s="88">
        <f t="shared" si="378"/>
        <v>3.9936847847175168</v>
      </c>
      <c r="L85" s="88">
        <f t="shared" si="378"/>
        <v>4.0683619369932602</v>
      </c>
      <c r="M85" s="88">
        <f t="shared" si="378"/>
        <v>4.3121179907267928</v>
      </c>
      <c r="N85" s="88">
        <f t="shared" si="378"/>
        <v>4.3763642178666187</v>
      </c>
      <c r="O85" s="88">
        <f t="shared" si="378"/>
        <v>4.4389309583836845</v>
      </c>
      <c r="P85" s="88">
        <f t="shared" si="378"/>
        <v>4.6779688294958675</v>
      </c>
      <c r="Q85" s="88">
        <f t="shared" si="378"/>
        <v>4.732290267829419</v>
      </c>
      <c r="R85" s="88">
        <f t="shared" si="378"/>
        <v>4.779017265967501</v>
      </c>
      <c r="S85" s="88">
        <f t="shared" si="378"/>
        <v>4.9988355035226748</v>
      </c>
      <c r="T85" s="88">
        <f t="shared" si="378"/>
        <v>5.0120075623211866</v>
      </c>
      <c r="U85" s="88">
        <f t="shared" si="378"/>
        <v>5.029093984153322</v>
      </c>
      <c r="V85" s="88">
        <f t="shared" si="378"/>
        <v>5.2557949031456292</v>
      </c>
      <c r="W85" s="88">
        <f t="shared" si="378"/>
        <v>5.2679081875686169</v>
      </c>
      <c r="X85" s="88">
        <f t="shared" si="378"/>
        <v>5.2795674219458357</v>
      </c>
      <c r="Y85" s="88">
        <f t="shared" si="378"/>
        <v>5.5147776122849947</v>
      </c>
      <c r="Z85" s="88">
        <f t="shared" si="378"/>
        <v>5.5206055429605909</v>
      </c>
      <c r="AA85" s="88">
        <f t="shared" si="378"/>
        <v>5.524494693569868</v>
      </c>
      <c r="AB85" s="88">
        <f t="shared" si="378"/>
        <v>5.7643544921469276</v>
      </c>
      <c r="AC85" s="88">
        <f t="shared" si="378"/>
        <v>5.7643514821185988</v>
      </c>
      <c r="AD85" s="88">
        <f t="shared" si="378"/>
        <v>5.762218804028441</v>
      </c>
      <c r="AE85" s="88">
        <f t="shared" si="378"/>
        <v>5.9542460059697682</v>
      </c>
      <c r="AF85" s="88">
        <f t="shared" si="378"/>
        <v>5.8980294842001753</v>
      </c>
      <c r="AG85" s="88">
        <f t="shared" si="378"/>
        <v>5.8459360251123513</v>
      </c>
      <c r="AH85" s="88">
        <f t="shared" si="378"/>
        <v>6.0508385121183776</v>
      </c>
      <c r="AI85" s="88">
        <f t="shared" si="378"/>
        <v>6.0015986044328198</v>
      </c>
      <c r="AJ85" s="88">
        <f t="shared" si="378"/>
        <v>5.9541634047695782</v>
      </c>
      <c r="AK85" s="88">
        <f t="shared" si="378"/>
        <v>6.1714397178837803</v>
      </c>
      <c r="AL85" s="88">
        <f t="shared" si="378"/>
        <v>6.1277083170873494</v>
      </c>
      <c r="AM85" s="88">
        <f t="shared" si="378"/>
        <v>6.0854391313405785</v>
      </c>
      <c r="AN85" s="88">
        <f t="shared" si="378"/>
        <v>6.3104403313157</v>
      </c>
      <c r="AO85" s="88">
        <f t="shared" si="378"/>
        <v>6.2691095124404477</v>
      </c>
      <c r="AP85" s="88">
        <f t="shared" si="378"/>
        <v>6.2296098847891503</v>
      </c>
      <c r="AQ85" s="88">
        <f t="shared" si="378"/>
        <v>6.4661678252690997</v>
      </c>
      <c r="AR85" s="88">
        <f t="shared" si="378"/>
        <v>6.4264910252074943</v>
      </c>
      <c r="AS85" s="88">
        <f t="shared" si="378"/>
        <v>6.3877563720337385</v>
      </c>
      <c r="AT85" s="88">
        <f t="shared" si="378"/>
        <v>6.6351982442404367</v>
      </c>
      <c r="AU85" s="88">
        <f t="shared" si="378"/>
        <v>6.5961483058063646</v>
      </c>
      <c r="AV85" s="88">
        <f t="shared" si="378"/>
        <v>6.5576767762064172</v>
      </c>
      <c r="AW85" s="88">
        <f t="shared" si="378"/>
        <v>6.8150009331946828</v>
      </c>
      <c r="AX85" s="88">
        <f t="shared" si="378"/>
        <v>6.7773220734660198</v>
      </c>
      <c r="AY85" s="88">
        <f t="shared" si="378"/>
        <v>6.7396264537686204</v>
      </c>
      <c r="AZ85" s="88">
        <f t="shared" si="378"/>
        <v>7.0077073644570875</v>
      </c>
      <c r="BA85" s="88">
        <f t="shared" si="378"/>
        <v>6.9700423210335858</v>
      </c>
      <c r="BB85" s="88">
        <f t="shared" si="378"/>
        <v>6.9326001659945646</v>
      </c>
      <c r="BC85" s="88">
        <f t="shared" si="378"/>
        <v>7.2119731860783842</v>
      </c>
      <c r="BD85" s="88">
        <f t="shared" si="378"/>
        <v>7.1747580480135289</v>
      </c>
      <c r="BE85" s="88">
        <f t="shared" si="378"/>
        <v>7.1374124295836667</v>
      </c>
      <c r="BF85" s="88">
        <f t="shared" si="378"/>
        <v>7.4278449152168076</v>
      </c>
      <c r="BG85" s="88">
        <f t="shared" si="378"/>
        <v>7.389795917307727</v>
      </c>
      <c r="BH85" s="88">
        <f t="shared" si="378"/>
        <v>7.3521834736008991</v>
      </c>
      <c r="BI85" s="88">
        <f t="shared" si="378"/>
        <v>7.6545179751538956</v>
      </c>
      <c r="BJ85" s="88">
        <f t="shared" si="378"/>
        <v>7.6162801674097222</v>
      </c>
      <c r="BK85" s="88">
        <f t="shared" si="378"/>
        <v>7.5783480049513345</v>
      </c>
      <c r="BL85" s="88">
        <f t="shared" si="378"/>
        <v>7.8925971532441457</v>
      </c>
      <c r="BM85" s="88">
        <f t="shared" si="378"/>
        <v>7.8537367244359197</v>
      </c>
      <c r="BN85" s="88">
        <f t="shared" si="378"/>
        <v>7.8148572050606626</v>
      </c>
      <c r="BO85" t="s">
        <v>0</v>
      </c>
    </row>
    <row r="86" spans="1:67" ht="14.4" customHeight="1" x14ac:dyDescent="0.3">
      <c r="C86" s="25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BO86" t="s">
        <v>0</v>
      </c>
    </row>
    <row r="87" spans="1:67" x14ac:dyDescent="0.3">
      <c r="A87" s="22" t="s">
        <v>0</v>
      </c>
      <c r="B87" s="22" t="s">
        <v>0</v>
      </c>
      <c r="C87" s="4" t="s">
        <v>170</v>
      </c>
      <c r="BO87" t="s">
        <v>0</v>
      </c>
    </row>
    <row r="88" spans="1:67" ht="3" customHeight="1" x14ac:dyDescent="0.3">
      <c r="BO88" t="s">
        <v>0</v>
      </c>
    </row>
    <row r="89" spans="1:67" x14ac:dyDescent="0.3">
      <c r="C89" t="s">
        <v>113</v>
      </c>
      <c r="G89" s="50">
        <f>'Detailed Financials'!G188</f>
        <v>-62375.833333333328</v>
      </c>
      <c r="H89" s="50">
        <f>'Detailed Financials'!H188</f>
        <v>-61346.416666666672</v>
      </c>
      <c r="I89" s="50">
        <f>'Detailed Financials'!I188</f>
        <v>-60364.599999999991</v>
      </c>
      <c r="J89" s="50">
        <f>'Detailed Financials'!J188</f>
        <v>-77566.583333333328</v>
      </c>
      <c r="K89" s="50">
        <f>'Detailed Financials'!K188</f>
        <v>-75803.399999999994</v>
      </c>
      <c r="L89" s="50">
        <f>'Detailed Financials'!L188</f>
        <v>-74865.216666666674</v>
      </c>
      <c r="M89" s="50">
        <f>'Detailed Financials'!M188</f>
        <v>-98609.293333333349</v>
      </c>
      <c r="N89" s="50">
        <f>'Detailed Financials'!N188</f>
        <v>-96001.223333333328</v>
      </c>
      <c r="O89" s="50">
        <f>'Detailed Financials'!O188</f>
        <v>-94981.203333333309</v>
      </c>
      <c r="P89" s="50">
        <f>'Detailed Financials'!P188</f>
        <v>-131091.79876666667</v>
      </c>
      <c r="Q89" s="50">
        <f>'Detailed Financials'!Q188</f>
        <v>-127405.01179999998</v>
      </c>
      <c r="R89" s="50">
        <f>'Detailed Financials'!R188</f>
        <v>-132040.71776666664</v>
      </c>
      <c r="S89" s="50">
        <f>'Detailed Financials'!S188</f>
        <v>-143332.92606299999</v>
      </c>
      <c r="T89" s="50">
        <f>'Detailed Financials'!T188</f>
        <v>-137300.50395433337</v>
      </c>
      <c r="U89" s="50">
        <f>'Detailed Financials'!U188</f>
        <v>-134492.46705400001</v>
      </c>
      <c r="V89" s="50">
        <f>'Detailed Financials'!V188</f>
        <v>-177872.02763128004</v>
      </c>
      <c r="W89" s="50">
        <f>'Detailed Financials'!W188</f>
        <v>-169711.03505032</v>
      </c>
      <c r="X89" s="50">
        <f>'Detailed Financials'!X188</f>
        <v>-166253.43925061001</v>
      </c>
      <c r="Y89" s="50">
        <f>'Detailed Financials'!Y188</f>
        <v>-192675.07063700462</v>
      </c>
      <c r="Z89" s="50">
        <f>'Detailed Financials'!Z188</f>
        <v>-199737.07396961169</v>
      </c>
      <c r="AA89" s="50">
        <f>'Detailed Financials'!AA188</f>
        <v>-194989.25098185043</v>
      </c>
      <c r="AB89" s="50">
        <f>'Detailed Financials'!AB188</f>
        <v>-222130.58620480599</v>
      </c>
      <c r="AC89" s="50">
        <f>'Detailed Financials'!AC188</f>
        <v>-226017.69952526712</v>
      </c>
      <c r="AD89" s="50">
        <f>'Detailed Financials'!AD188</f>
        <v>-240191.72012567392</v>
      </c>
      <c r="AE89" s="50">
        <f>'Detailed Financials'!AE188</f>
        <v>-260223.40542175889</v>
      </c>
      <c r="AF89" s="50">
        <f>'Detailed Financials'!AF188</f>
        <v>-265261.98736464896</v>
      </c>
      <c r="AG89" s="50">
        <f>'Detailed Financials'!AG188</f>
        <v>-262576.75470092008</v>
      </c>
      <c r="AH89" s="50">
        <f>'Detailed Financials'!AH188</f>
        <v>-308488.0512490602</v>
      </c>
      <c r="AI89" s="50">
        <f>'Detailed Financials'!AI188</f>
        <v>-283569.92003201914</v>
      </c>
      <c r="AJ89" s="50">
        <f>'Detailed Financials'!AJ188</f>
        <v>-296088.6721967762</v>
      </c>
      <c r="AK89" s="50">
        <f>'Detailed Financials'!AK188</f>
        <v>-340856.0944032491</v>
      </c>
      <c r="AL89" s="50">
        <f>'Detailed Financials'!AL188</f>
        <v>-316041.16595194902</v>
      </c>
      <c r="AM89" s="50">
        <f>'Detailed Financials'!AM188</f>
        <v>-330862.30292085477</v>
      </c>
      <c r="AN89" s="50">
        <f>'Detailed Financials'!AN188</f>
        <v>-375584.84661286115</v>
      </c>
      <c r="AO89" s="50">
        <f>'Detailed Financials'!AO188</f>
        <v>-358400.63864367333</v>
      </c>
      <c r="AP89" s="50">
        <f>'Detailed Financials'!AP188</f>
        <v>-368801.10642950132</v>
      </c>
      <c r="AQ89" s="50">
        <f>'Detailed Financials'!AQ188</f>
        <v>-410740.98563050438</v>
      </c>
      <c r="AR89" s="50">
        <f>'Detailed Financials'!AR188</f>
        <v>-386965.59901971836</v>
      </c>
      <c r="AS89" s="50">
        <f>'Detailed Financials'!AS188</f>
        <v>-390227.5677376517</v>
      </c>
      <c r="AT89" s="50">
        <f>'Detailed Financials'!AT188</f>
        <v>-460718.06748916721</v>
      </c>
      <c r="AU89" s="50">
        <f>'Detailed Financials'!AU188</f>
        <v>-423827.33885262499</v>
      </c>
      <c r="AV89" s="50">
        <f>'Detailed Financials'!AV188</f>
        <v>-437635.82259634964</v>
      </c>
      <c r="AW89" s="50">
        <f>'Detailed Financials'!AW188</f>
        <v>-513902.24861840752</v>
      </c>
      <c r="AX89" s="50">
        <f>'Detailed Financials'!AX188</f>
        <v>-473324.49394919502</v>
      </c>
      <c r="AY89" s="50">
        <f>'Detailed Financials'!AY188</f>
        <v>-482148.59545510879</v>
      </c>
      <c r="AZ89" s="50">
        <f>'Detailed Financials'!AZ188</f>
        <v>-582025.15126639954</v>
      </c>
      <c r="BA89" s="50">
        <f>'Detailed Financials'!BA188</f>
        <v>-519096.96268524497</v>
      </c>
      <c r="BB89" s="50">
        <f>'Detailed Financials'!BB188</f>
        <v>-536327.94881677476</v>
      </c>
      <c r="BC89" s="50">
        <f>'Detailed Financials'!BC188</f>
        <v>-634451.87030082615</v>
      </c>
      <c r="BD89" s="50">
        <f>'Detailed Financials'!BD188</f>
        <v>-574575.24281308358</v>
      </c>
      <c r="BE89" s="50">
        <f>'Detailed Financials'!BE188</f>
        <v>-594767.05579079222</v>
      </c>
      <c r="BF89" s="50">
        <f>'Detailed Financials'!BF188</f>
        <v>-731492.70977642154</v>
      </c>
      <c r="BG89" s="50">
        <f>'Detailed Financials'!BG188</f>
        <v>-626564.57226608892</v>
      </c>
      <c r="BH89" s="50">
        <f>'Detailed Financials'!BH188</f>
        <v>-656397.46434799442</v>
      </c>
      <c r="BI89" s="50">
        <f>'Detailed Financials'!BI188</f>
        <v>-835389.23303015321</v>
      </c>
      <c r="BJ89" s="50">
        <f>'Detailed Financials'!BJ188</f>
        <v>-712277.23268162599</v>
      </c>
      <c r="BK89" s="50">
        <f>'Detailed Financials'!BK188</f>
        <v>-736350.82412762055</v>
      </c>
      <c r="BL89" s="50">
        <f>'Detailed Financials'!BL188</f>
        <v>-964686.19283378124</v>
      </c>
      <c r="BM89" s="50">
        <f>'Detailed Financials'!BM188</f>
        <v>-812953.34354801942</v>
      </c>
      <c r="BN89" s="50">
        <f>'Detailed Financials'!BN188</f>
        <v>-838306.95665195049</v>
      </c>
      <c r="BO89" t="s">
        <v>0</v>
      </c>
    </row>
    <row r="90" spans="1:67" x14ac:dyDescent="0.3">
      <c r="C90" t="s">
        <v>171</v>
      </c>
      <c r="H90" s="34">
        <f t="shared" ref="H90:AM90" si="379">H17-G17</f>
        <v>4172.5</v>
      </c>
      <c r="I90" s="34">
        <f t="shared" si="379"/>
        <v>4222.5</v>
      </c>
      <c r="J90" s="34">
        <f t="shared" si="379"/>
        <v>4272.5</v>
      </c>
      <c r="K90" s="34">
        <f t="shared" si="379"/>
        <v>4410</v>
      </c>
      <c r="L90" s="34">
        <f t="shared" si="379"/>
        <v>4577.5</v>
      </c>
      <c r="M90" s="34">
        <f t="shared" si="379"/>
        <v>4805</v>
      </c>
      <c r="N90" s="34">
        <f t="shared" si="379"/>
        <v>5060</v>
      </c>
      <c r="O90" s="34">
        <f t="shared" si="379"/>
        <v>5375</v>
      </c>
      <c r="P90" s="34">
        <f t="shared" si="379"/>
        <v>5717.5</v>
      </c>
      <c r="Q90" s="34">
        <f t="shared" si="379"/>
        <v>6090</v>
      </c>
      <c r="R90" s="34">
        <f t="shared" si="379"/>
        <v>6520</v>
      </c>
      <c r="S90" s="34">
        <f t="shared" si="379"/>
        <v>6517.5</v>
      </c>
      <c r="T90" s="34">
        <f t="shared" si="379"/>
        <v>7010</v>
      </c>
      <c r="U90" s="34">
        <f t="shared" si="379"/>
        <v>7560</v>
      </c>
      <c r="V90" s="34">
        <f t="shared" si="379"/>
        <v>8197.5</v>
      </c>
      <c r="W90" s="34">
        <f t="shared" si="379"/>
        <v>8865</v>
      </c>
      <c r="X90" s="34">
        <f t="shared" si="379"/>
        <v>9592.5</v>
      </c>
      <c r="Y90" s="34">
        <f t="shared" si="379"/>
        <v>10407.5</v>
      </c>
      <c r="Z90" s="34">
        <f t="shared" si="379"/>
        <v>11310</v>
      </c>
      <c r="AA90" s="34">
        <f t="shared" si="379"/>
        <v>12270</v>
      </c>
      <c r="AB90" s="34">
        <f t="shared" si="379"/>
        <v>13377.5</v>
      </c>
      <c r="AC90" s="34">
        <f t="shared" si="379"/>
        <v>14545</v>
      </c>
      <c r="AD90" s="34">
        <f t="shared" si="379"/>
        <v>15770</v>
      </c>
      <c r="AE90" s="34">
        <f t="shared" si="379"/>
        <v>16210</v>
      </c>
      <c r="AF90" s="34">
        <f t="shared" si="379"/>
        <v>17645</v>
      </c>
      <c r="AG90" s="34">
        <f t="shared" si="379"/>
        <v>19227.5</v>
      </c>
      <c r="AH90" s="34">
        <f t="shared" si="379"/>
        <v>20987.5</v>
      </c>
      <c r="AI90" s="34">
        <f t="shared" si="379"/>
        <v>22835</v>
      </c>
      <c r="AJ90" s="34">
        <f t="shared" si="379"/>
        <v>24917.5</v>
      </c>
      <c r="AK90" s="34">
        <f t="shared" si="379"/>
        <v>27177.5</v>
      </c>
      <c r="AL90" s="34">
        <f t="shared" si="379"/>
        <v>29617.5</v>
      </c>
      <c r="AM90" s="34">
        <f t="shared" si="379"/>
        <v>32292.5</v>
      </c>
      <c r="AN90" s="34">
        <f t="shared" ref="AN90:BN90" si="380">AN17-AM17</f>
        <v>35202.5</v>
      </c>
      <c r="AO90" s="34">
        <f t="shared" si="380"/>
        <v>38465</v>
      </c>
      <c r="AP90" s="34">
        <f t="shared" si="380"/>
        <v>41967.5</v>
      </c>
      <c r="AQ90" s="34">
        <f t="shared" si="380"/>
        <v>45767.5</v>
      </c>
      <c r="AR90" s="34">
        <f t="shared" si="380"/>
        <v>50007.5</v>
      </c>
      <c r="AS90" s="34">
        <f t="shared" si="380"/>
        <v>54632.5</v>
      </c>
      <c r="AT90" s="34">
        <f t="shared" si="380"/>
        <v>59615</v>
      </c>
      <c r="AU90" s="34">
        <f t="shared" si="380"/>
        <v>65157.5</v>
      </c>
      <c r="AV90" s="34">
        <f t="shared" si="380"/>
        <v>71202.5</v>
      </c>
      <c r="AW90" s="34">
        <f t="shared" si="380"/>
        <v>77812.5</v>
      </c>
      <c r="AX90" s="34">
        <f t="shared" si="380"/>
        <v>85072.5</v>
      </c>
      <c r="AY90" s="34">
        <f t="shared" si="380"/>
        <v>92985</v>
      </c>
      <c r="AZ90" s="34">
        <f t="shared" si="380"/>
        <v>101610</v>
      </c>
      <c r="BA90" s="34">
        <f t="shared" si="380"/>
        <v>111095</v>
      </c>
      <c r="BB90" s="34">
        <f t="shared" si="380"/>
        <v>121497.5</v>
      </c>
      <c r="BC90" s="34">
        <f t="shared" si="380"/>
        <v>132880</v>
      </c>
      <c r="BD90" s="34">
        <f t="shared" si="380"/>
        <v>145362.5</v>
      </c>
      <c r="BE90" s="34">
        <f t="shared" si="380"/>
        <v>158945</v>
      </c>
      <c r="BF90" s="34">
        <f t="shared" si="380"/>
        <v>173917.5</v>
      </c>
      <c r="BG90" s="34">
        <f t="shared" si="380"/>
        <v>190290</v>
      </c>
      <c r="BH90" s="34">
        <f t="shared" si="380"/>
        <v>208237.5</v>
      </c>
      <c r="BI90" s="34">
        <f t="shared" si="380"/>
        <v>227877.5</v>
      </c>
      <c r="BJ90" s="34">
        <f t="shared" si="380"/>
        <v>249450</v>
      </c>
      <c r="BK90" s="34">
        <f t="shared" si="380"/>
        <v>273045</v>
      </c>
      <c r="BL90" s="34">
        <f t="shared" si="380"/>
        <v>298872.5</v>
      </c>
      <c r="BM90" s="34">
        <f t="shared" si="380"/>
        <v>327197.5</v>
      </c>
      <c r="BN90" s="34">
        <f t="shared" si="380"/>
        <v>358287.5</v>
      </c>
      <c r="BO90" t="s">
        <v>0</v>
      </c>
    </row>
    <row r="91" spans="1:67" x14ac:dyDescent="0.3">
      <c r="C91" s="31" t="s">
        <v>172</v>
      </c>
      <c r="D91" s="31"/>
      <c r="E91" s="31"/>
      <c r="F91" s="31"/>
      <c r="G91" s="31"/>
      <c r="H91" s="88">
        <f>IF(AND(H89&lt;0, H90&gt;0),ABS(H89)/H90, "NA")</f>
        <v>14.702556421010586</v>
      </c>
      <c r="I91" s="88">
        <f t="shared" ref="I91:BN91" si="381">IF(AND(I89&lt;0, I90&gt;0),ABS(I89)/I90, "NA")</f>
        <v>14.295938425103609</v>
      </c>
      <c r="J91" s="88">
        <f t="shared" si="381"/>
        <v>18.15484688901892</v>
      </c>
      <c r="K91" s="88">
        <f t="shared" si="381"/>
        <v>17.188979591836734</v>
      </c>
      <c r="L91" s="88">
        <f t="shared" si="381"/>
        <v>16.35504460222101</v>
      </c>
      <c r="M91" s="88">
        <f t="shared" si="381"/>
        <v>20.522225459590707</v>
      </c>
      <c r="N91" s="88">
        <f t="shared" si="381"/>
        <v>18.972573781291171</v>
      </c>
      <c r="O91" s="88">
        <f t="shared" si="381"/>
        <v>17.670921550387593</v>
      </c>
      <c r="P91" s="88">
        <f t="shared" si="381"/>
        <v>22.928167689841132</v>
      </c>
      <c r="Q91" s="88">
        <f t="shared" si="381"/>
        <v>20.92036318555008</v>
      </c>
      <c r="R91" s="88">
        <f t="shared" si="381"/>
        <v>20.251643829243349</v>
      </c>
      <c r="S91" s="88">
        <f t="shared" si="381"/>
        <v>21.99201013624856</v>
      </c>
      <c r="T91" s="88">
        <f t="shared" si="381"/>
        <v>19.586377168949124</v>
      </c>
      <c r="U91" s="88">
        <f t="shared" si="381"/>
        <v>17.79000886957672</v>
      </c>
      <c r="V91" s="88">
        <f t="shared" si="381"/>
        <v>21.698326030043312</v>
      </c>
      <c r="W91" s="88">
        <f t="shared" si="381"/>
        <v>19.143940784018049</v>
      </c>
      <c r="X91" s="88">
        <f t="shared" si="381"/>
        <v>17.331606906500912</v>
      </c>
      <c r="Y91" s="88">
        <f t="shared" si="381"/>
        <v>18.513098307663189</v>
      </c>
      <c r="Z91" s="88">
        <f t="shared" si="381"/>
        <v>17.660218741787062</v>
      </c>
      <c r="AA91" s="88">
        <f t="shared" si="381"/>
        <v>15.891544497298323</v>
      </c>
      <c r="AB91" s="88">
        <f t="shared" si="381"/>
        <v>16.604790596509513</v>
      </c>
      <c r="AC91" s="88">
        <f t="shared" si="381"/>
        <v>15.539202442438441</v>
      </c>
      <c r="AD91" s="88">
        <f t="shared" si="381"/>
        <v>15.230927084697141</v>
      </c>
      <c r="AE91" s="88">
        <f t="shared" si="381"/>
        <v>16.053263752113441</v>
      </c>
      <c r="AF91" s="88">
        <f t="shared" si="381"/>
        <v>15.03326649842159</v>
      </c>
      <c r="AG91" s="88">
        <f t="shared" si="381"/>
        <v>13.656312817626841</v>
      </c>
      <c r="AH91" s="88">
        <f t="shared" si="381"/>
        <v>14.698656402575828</v>
      </c>
      <c r="AI91" s="88">
        <f t="shared" si="381"/>
        <v>12.418214146355119</v>
      </c>
      <c r="AJ91" s="88">
        <f t="shared" si="381"/>
        <v>11.882759995857377</v>
      </c>
      <c r="AK91" s="88">
        <f t="shared" si="381"/>
        <v>12.541848750004567</v>
      </c>
      <c r="AL91" s="88">
        <f t="shared" si="381"/>
        <v>10.670757692308568</v>
      </c>
      <c r="AM91" s="88">
        <f t="shared" si="381"/>
        <v>10.245794005445685</v>
      </c>
      <c r="AN91" s="88">
        <f t="shared" si="381"/>
        <v>10.669266291111743</v>
      </c>
      <c r="AO91" s="88">
        <f t="shared" si="381"/>
        <v>9.3175780227134624</v>
      </c>
      <c r="AP91" s="88">
        <f t="shared" si="381"/>
        <v>8.7877787914338796</v>
      </c>
      <c r="AQ91" s="88">
        <f t="shared" si="381"/>
        <v>8.9745121675971902</v>
      </c>
      <c r="AR91" s="88">
        <f t="shared" si="381"/>
        <v>7.7381512577057112</v>
      </c>
      <c r="AS91" s="88">
        <f t="shared" si="381"/>
        <v>7.1427733993072202</v>
      </c>
      <c r="AT91" s="88">
        <f t="shared" si="381"/>
        <v>7.7282238948111583</v>
      </c>
      <c r="AU91" s="88">
        <f t="shared" si="381"/>
        <v>6.5046593078713117</v>
      </c>
      <c r="AV91" s="88">
        <f t="shared" si="381"/>
        <v>6.14635472906639</v>
      </c>
      <c r="AW91" s="88">
        <f t="shared" si="381"/>
        <v>6.6043662473048359</v>
      </c>
      <c r="AX91" s="88">
        <f t="shared" si="381"/>
        <v>5.5637778829727003</v>
      </c>
      <c r="AY91" s="88">
        <f t="shared" si="381"/>
        <v>5.1852298269087358</v>
      </c>
      <c r="AZ91" s="88">
        <f t="shared" si="381"/>
        <v>5.7280302260249929</v>
      </c>
      <c r="BA91" s="88">
        <f t="shared" si="381"/>
        <v>4.6725501839438763</v>
      </c>
      <c r="BB91" s="88">
        <f t="shared" si="381"/>
        <v>4.4143126304391016</v>
      </c>
      <c r="BC91" s="88">
        <f t="shared" si="381"/>
        <v>4.7746227445877949</v>
      </c>
      <c r="BD91" s="88">
        <f t="shared" si="381"/>
        <v>3.952706116179094</v>
      </c>
      <c r="BE91" s="88">
        <f t="shared" si="381"/>
        <v>3.7419676982024739</v>
      </c>
      <c r="BF91" s="88">
        <f t="shared" si="381"/>
        <v>4.205975303097282</v>
      </c>
      <c r="BG91" s="88">
        <f t="shared" si="381"/>
        <v>3.2926826016400699</v>
      </c>
      <c r="BH91" s="88">
        <f t="shared" si="381"/>
        <v>3.1521578214682484</v>
      </c>
      <c r="BI91" s="88">
        <f t="shared" si="381"/>
        <v>3.6659575123921986</v>
      </c>
      <c r="BJ91" s="88">
        <f t="shared" si="381"/>
        <v>2.855390790465528</v>
      </c>
      <c r="BK91" s="88">
        <f t="shared" si="381"/>
        <v>2.6968112367105075</v>
      </c>
      <c r="BL91" s="88">
        <f t="shared" si="381"/>
        <v>3.2277516092440131</v>
      </c>
      <c r="BM91" s="88">
        <f t="shared" si="381"/>
        <v>2.4845952171028793</v>
      </c>
      <c r="BN91" s="88">
        <f t="shared" si="381"/>
        <v>2.3397605460752899</v>
      </c>
      <c r="BO91" t="s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CB87-1470-4F04-817C-2475979188B9}">
  <sheetPr>
    <tabColor theme="3"/>
  </sheetPr>
  <dimension ref="B3"/>
  <sheetViews>
    <sheetView workbookViewId="0"/>
  </sheetViews>
  <sheetFormatPr defaultRowHeight="14.4" x14ac:dyDescent="0.3"/>
  <sheetData>
    <row r="3" spans="2:2" x14ac:dyDescent="0.3">
      <c r="B3" s="135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FC1D-E61A-4908-901E-093A149B82E5}">
  <sheetPr>
    <tabColor theme="4"/>
  </sheetPr>
  <dimension ref="A3:F70"/>
  <sheetViews>
    <sheetView showGridLines="0" workbookViewId="0"/>
  </sheetViews>
  <sheetFormatPr defaultRowHeight="14.4" x14ac:dyDescent="0.3"/>
  <cols>
    <col min="1" max="2" width="2.5546875" customWidth="1"/>
    <col min="3" max="3" width="39.77734375" bestFit="1" customWidth="1"/>
    <col min="5" max="5" width="10.5546875" customWidth="1"/>
  </cols>
  <sheetData>
    <row r="3" spans="1:6" ht="18" x14ac:dyDescent="0.35">
      <c r="A3" s="22" t="s">
        <v>0</v>
      </c>
      <c r="B3" s="22" t="s">
        <v>0</v>
      </c>
      <c r="C3" s="99" t="s">
        <v>11</v>
      </c>
      <c r="D3" s="11"/>
      <c r="E3" s="100"/>
    </row>
    <row r="4" spans="1:6" ht="3" customHeight="1" x14ac:dyDescent="0.3">
      <c r="C4" s="19"/>
      <c r="E4" s="101"/>
    </row>
    <row r="5" spans="1:6" ht="14.4" customHeight="1" x14ac:dyDescent="0.3">
      <c r="B5" s="22" t="s">
        <v>0</v>
      </c>
      <c r="C5" s="105" t="s">
        <v>46</v>
      </c>
      <c r="E5" s="104"/>
    </row>
    <row r="6" spans="1:6" ht="3" customHeight="1" x14ac:dyDescent="0.3">
      <c r="C6" s="19"/>
      <c r="E6" s="104"/>
    </row>
    <row r="7" spans="1:6" ht="14.4" customHeight="1" x14ac:dyDescent="0.3">
      <c r="C7" s="19" t="s">
        <v>13</v>
      </c>
      <c r="E7" s="103">
        <v>90</v>
      </c>
    </row>
    <row r="8" spans="1:6" ht="14.4" customHeight="1" x14ac:dyDescent="0.3">
      <c r="C8" s="19" t="s">
        <v>17</v>
      </c>
      <c r="E8" s="104">
        <v>0.1</v>
      </c>
    </row>
    <row r="9" spans="1:6" ht="14.4" customHeight="1" x14ac:dyDescent="0.3">
      <c r="C9" s="19" t="s">
        <v>26</v>
      </c>
      <c r="E9" s="104">
        <v>0.85</v>
      </c>
    </row>
    <row r="10" spans="1:6" ht="14.4" customHeight="1" x14ac:dyDescent="0.3">
      <c r="C10" s="19" t="s">
        <v>31</v>
      </c>
      <c r="E10" s="106">
        <v>30</v>
      </c>
      <c r="F10" s="134"/>
    </row>
    <row r="11" spans="1:6" ht="14.4" customHeight="1" x14ac:dyDescent="0.3">
      <c r="C11" s="19"/>
      <c r="E11" s="104"/>
    </row>
    <row r="12" spans="1:6" x14ac:dyDescent="0.3">
      <c r="B12" s="22" t="s">
        <v>0</v>
      </c>
      <c r="C12" s="105" t="s">
        <v>47</v>
      </c>
      <c r="E12" s="101"/>
    </row>
    <row r="13" spans="1:6" ht="3" customHeight="1" x14ac:dyDescent="0.3">
      <c r="C13" s="19"/>
      <c r="E13" s="101"/>
    </row>
    <row r="14" spans="1:6" x14ac:dyDescent="0.3">
      <c r="C14" s="19" t="s">
        <v>14</v>
      </c>
      <c r="E14" s="103">
        <v>55</v>
      </c>
    </row>
    <row r="15" spans="1:6" x14ac:dyDescent="0.3">
      <c r="C15" s="19" t="s">
        <v>18</v>
      </c>
      <c r="E15" s="104">
        <v>7.0000000000000007E-2</v>
      </c>
    </row>
    <row r="16" spans="1:6" x14ac:dyDescent="0.3">
      <c r="C16" s="19" t="s">
        <v>27</v>
      </c>
      <c r="E16" s="104">
        <v>0.65</v>
      </c>
    </row>
    <row r="17" spans="1:5" x14ac:dyDescent="0.3">
      <c r="C17" s="19" t="s">
        <v>32</v>
      </c>
      <c r="E17" s="106">
        <v>330</v>
      </c>
    </row>
    <row r="18" spans="1:5" x14ac:dyDescent="0.3">
      <c r="C18" s="19"/>
      <c r="E18" s="101"/>
    </row>
    <row r="19" spans="1:5" x14ac:dyDescent="0.3">
      <c r="A19" s="22" t="s">
        <v>0</v>
      </c>
      <c r="B19" s="22" t="s">
        <v>0</v>
      </c>
      <c r="C19" s="102" t="s">
        <v>52</v>
      </c>
      <c r="E19" s="101"/>
    </row>
    <row r="20" spans="1:5" ht="3" customHeight="1" x14ac:dyDescent="0.3">
      <c r="C20" s="19"/>
      <c r="E20" s="101"/>
    </row>
    <row r="21" spans="1:5" x14ac:dyDescent="0.3">
      <c r="B21" s="22" t="s">
        <v>0</v>
      </c>
      <c r="C21" s="105" t="s">
        <v>51</v>
      </c>
      <c r="E21" s="101"/>
    </row>
    <row r="22" spans="1:5" ht="3" customHeight="1" x14ac:dyDescent="0.3">
      <c r="C22" s="19"/>
      <c r="E22" s="101"/>
    </row>
    <row r="23" spans="1:5" ht="14.4" customHeight="1" x14ac:dyDescent="0.3">
      <c r="C23" s="19" t="s">
        <v>203</v>
      </c>
      <c r="E23" s="104">
        <v>0.16</v>
      </c>
    </row>
    <row r="24" spans="1:5" ht="14.4" customHeight="1" x14ac:dyDescent="0.3">
      <c r="C24" s="19" t="s">
        <v>204</v>
      </c>
      <c r="E24" s="108">
        <v>-5.0000000000000001E-3</v>
      </c>
    </row>
    <row r="25" spans="1:5" x14ac:dyDescent="0.3">
      <c r="C25" s="19"/>
      <c r="E25" s="101"/>
    </row>
    <row r="26" spans="1:5" x14ac:dyDescent="0.3">
      <c r="B26" s="22" t="s">
        <v>0</v>
      </c>
      <c r="C26" s="105" t="s">
        <v>54</v>
      </c>
      <c r="E26" s="101"/>
    </row>
    <row r="27" spans="1:5" ht="3" customHeight="1" x14ac:dyDescent="0.3">
      <c r="C27" s="19"/>
      <c r="E27" s="101"/>
    </row>
    <row r="28" spans="1:5" x14ac:dyDescent="0.3">
      <c r="C28" s="107" t="s">
        <v>56</v>
      </c>
      <c r="E28" s="101"/>
    </row>
    <row r="29" spans="1:5" ht="3" customHeight="1" x14ac:dyDescent="0.3">
      <c r="C29" s="19"/>
      <c r="E29" s="101"/>
    </row>
    <row r="30" spans="1:5" x14ac:dyDescent="0.3">
      <c r="C30" s="19" t="s">
        <v>82</v>
      </c>
      <c r="E30" s="106">
        <v>150000</v>
      </c>
    </row>
    <row r="31" spans="1:5" x14ac:dyDescent="0.3">
      <c r="C31" s="19" t="s">
        <v>83</v>
      </c>
      <c r="E31" s="106">
        <v>150000</v>
      </c>
    </row>
    <row r="32" spans="1:5" x14ac:dyDescent="0.3">
      <c r="C32" s="19" t="s">
        <v>84</v>
      </c>
      <c r="E32" s="106">
        <v>180000</v>
      </c>
    </row>
    <row r="33" spans="3:5" x14ac:dyDescent="0.3">
      <c r="C33" s="19" t="s">
        <v>85</v>
      </c>
      <c r="E33" s="106">
        <v>60000</v>
      </c>
    </row>
    <row r="34" spans="3:5" x14ac:dyDescent="0.3">
      <c r="C34" s="19" t="s">
        <v>65</v>
      </c>
      <c r="E34" s="103">
        <v>1000</v>
      </c>
    </row>
    <row r="35" spans="3:5" x14ac:dyDescent="0.3">
      <c r="C35" s="19" t="s">
        <v>86</v>
      </c>
      <c r="E35" s="106">
        <v>180000</v>
      </c>
    </row>
    <row r="36" spans="3:5" x14ac:dyDescent="0.3">
      <c r="C36" s="19" t="s">
        <v>69</v>
      </c>
      <c r="E36" s="106">
        <v>500000</v>
      </c>
    </row>
    <row r="37" spans="3:5" x14ac:dyDescent="0.3">
      <c r="C37" s="19" t="s">
        <v>205</v>
      </c>
      <c r="E37" s="104">
        <v>0.08</v>
      </c>
    </row>
    <row r="38" spans="3:5" x14ac:dyDescent="0.3">
      <c r="C38" s="19" t="s">
        <v>206</v>
      </c>
      <c r="E38" s="104">
        <v>0.2</v>
      </c>
    </row>
    <row r="39" spans="3:5" x14ac:dyDescent="0.3">
      <c r="C39" s="19"/>
      <c r="E39" s="101"/>
    </row>
    <row r="40" spans="3:5" x14ac:dyDescent="0.3">
      <c r="C40" s="19" t="s">
        <v>209</v>
      </c>
      <c r="E40" s="104">
        <v>0.05</v>
      </c>
    </row>
    <row r="41" spans="3:5" x14ac:dyDescent="0.3">
      <c r="C41" s="19"/>
      <c r="E41" s="101"/>
    </row>
    <row r="42" spans="3:5" x14ac:dyDescent="0.3">
      <c r="C42" s="107" t="s">
        <v>76</v>
      </c>
      <c r="E42" s="101"/>
    </row>
    <row r="43" spans="3:5" ht="3" customHeight="1" x14ac:dyDescent="0.3">
      <c r="C43" s="19"/>
      <c r="E43" s="101"/>
    </row>
    <row r="44" spans="3:5" x14ac:dyDescent="0.3">
      <c r="C44" s="19" t="s">
        <v>210</v>
      </c>
      <c r="E44" s="106">
        <v>200</v>
      </c>
    </row>
    <row r="45" spans="3:5" x14ac:dyDescent="0.3">
      <c r="C45" s="19" t="s">
        <v>211</v>
      </c>
      <c r="E45" s="106">
        <v>100</v>
      </c>
    </row>
    <row r="46" spans="3:5" x14ac:dyDescent="0.3">
      <c r="C46" s="19" t="s">
        <v>214</v>
      </c>
      <c r="E46" s="104">
        <v>0.05</v>
      </c>
    </row>
    <row r="47" spans="3:5" x14ac:dyDescent="0.3">
      <c r="C47" s="19" t="s">
        <v>215</v>
      </c>
      <c r="E47" s="104">
        <v>0.03</v>
      </c>
    </row>
    <row r="48" spans="3:5" x14ac:dyDescent="0.3">
      <c r="C48" s="19"/>
      <c r="E48" s="101"/>
    </row>
    <row r="49" spans="1:5" x14ac:dyDescent="0.3">
      <c r="C49" s="107" t="s">
        <v>81</v>
      </c>
      <c r="E49" s="101"/>
    </row>
    <row r="50" spans="1:5" ht="3" customHeight="1" x14ac:dyDescent="0.3">
      <c r="C50" s="19"/>
      <c r="E50" s="101"/>
    </row>
    <row r="51" spans="1:5" x14ac:dyDescent="0.3">
      <c r="C51" s="19" t="s">
        <v>87</v>
      </c>
      <c r="E51" s="106">
        <v>10000</v>
      </c>
    </row>
    <row r="52" spans="1:5" x14ac:dyDescent="0.3">
      <c r="C52" s="19" t="s">
        <v>88</v>
      </c>
      <c r="E52" s="103">
        <v>20</v>
      </c>
    </row>
    <row r="53" spans="1:5" x14ac:dyDescent="0.3">
      <c r="C53" s="19" t="s">
        <v>89</v>
      </c>
      <c r="E53" s="106">
        <v>4000</v>
      </c>
    </row>
    <row r="54" spans="1:5" x14ac:dyDescent="0.3">
      <c r="C54" s="19"/>
      <c r="E54" s="101"/>
    </row>
    <row r="55" spans="1:5" x14ac:dyDescent="0.3">
      <c r="C55" s="19" t="s">
        <v>96</v>
      </c>
      <c r="E55" s="104">
        <v>0.05</v>
      </c>
    </row>
    <row r="56" spans="1:5" ht="3" customHeight="1" x14ac:dyDescent="0.3">
      <c r="C56" s="19"/>
      <c r="E56" s="101"/>
    </row>
    <row r="57" spans="1:5" x14ac:dyDescent="0.3">
      <c r="C57" s="19"/>
      <c r="E57" s="106"/>
    </row>
    <row r="58" spans="1:5" x14ac:dyDescent="0.3">
      <c r="B58" s="22" t="s">
        <v>0</v>
      </c>
      <c r="C58" s="105" t="s">
        <v>101</v>
      </c>
      <c r="E58" s="101"/>
    </row>
    <row r="59" spans="1:5" ht="3" customHeight="1" x14ac:dyDescent="0.3">
      <c r="C59" s="19"/>
      <c r="E59" s="101"/>
    </row>
    <row r="60" spans="1:5" x14ac:dyDescent="0.3">
      <c r="C60" s="19" t="s">
        <v>109</v>
      </c>
      <c r="E60" s="104">
        <v>0.21</v>
      </c>
    </row>
    <row r="61" spans="1:5" x14ac:dyDescent="0.3">
      <c r="C61" s="19"/>
      <c r="E61" s="101"/>
    </row>
    <row r="62" spans="1:5" x14ac:dyDescent="0.3">
      <c r="A62" s="22" t="s">
        <v>0</v>
      </c>
      <c r="B62" s="22" t="s">
        <v>0</v>
      </c>
      <c r="C62" s="102" t="s">
        <v>111</v>
      </c>
      <c r="E62" s="101"/>
    </row>
    <row r="63" spans="1:5" ht="3" customHeight="1" x14ac:dyDescent="0.3">
      <c r="C63" s="19"/>
      <c r="E63" s="101"/>
    </row>
    <row r="64" spans="1:5" x14ac:dyDescent="0.3">
      <c r="C64" s="19" t="s">
        <v>127</v>
      </c>
      <c r="E64" s="106">
        <v>1000000</v>
      </c>
    </row>
    <row r="65" spans="3:5" x14ac:dyDescent="0.3">
      <c r="C65" s="19" t="s">
        <v>130</v>
      </c>
      <c r="E65" s="103">
        <v>5</v>
      </c>
    </row>
    <row r="66" spans="3:5" x14ac:dyDescent="0.3">
      <c r="C66" s="19" t="s">
        <v>216</v>
      </c>
      <c r="E66" s="104">
        <v>0.05</v>
      </c>
    </row>
    <row r="67" spans="3:5" x14ac:dyDescent="0.3">
      <c r="C67" s="19" t="s">
        <v>135</v>
      </c>
      <c r="E67" s="104">
        <v>0.08</v>
      </c>
    </row>
    <row r="68" spans="3:5" x14ac:dyDescent="0.3">
      <c r="C68" s="19" t="s">
        <v>136</v>
      </c>
      <c r="E68" s="108">
        <v>-5.0000000000000001E-3</v>
      </c>
    </row>
    <row r="69" spans="3:5" ht="14.4" customHeight="1" x14ac:dyDescent="0.3">
      <c r="C69" s="109" t="s">
        <v>217</v>
      </c>
      <c r="D69" s="110"/>
      <c r="E69" s="111">
        <v>1000000</v>
      </c>
    </row>
    <row r="70" spans="3:5" ht="14.4" customHeight="1" x14ac:dyDescent="0.3"/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976B-3796-43D1-9C81-8F9953E38A0B}">
  <sheetPr>
    <tabColor theme="3" tint="0.79998168889431442"/>
  </sheetPr>
  <dimension ref="A3:BN115"/>
  <sheetViews>
    <sheetView showGridLines="0" topLeftCell="A3" zoomScaleNormal="100" workbookViewId="0">
      <pane xSplit="5" ySplit="5" topLeftCell="F8" activePane="bottomRight" state="frozen"/>
      <selection activeCell="A3" sqref="A3"/>
      <selection pane="topRight" activeCell="F3" sqref="F3"/>
      <selection pane="bottomLeft" activeCell="A8" sqref="A8"/>
      <selection pane="bottomRight" activeCell="F8" sqref="F8"/>
    </sheetView>
  </sheetViews>
  <sheetFormatPr defaultRowHeight="14.4" x14ac:dyDescent="0.3"/>
  <cols>
    <col min="1" max="2" width="3.5546875" customWidth="1"/>
    <col min="3" max="3" width="39.33203125" bestFit="1" customWidth="1"/>
    <col min="4" max="4" width="6.44140625" bestFit="1" customWidth="1"/>
    <col min="5" max="5" width="14.88671875" bestFit="1" customWidth="1"/>
    <col min="6" max="6" width="6.44140625" bestFit="1" customWidth="1"/>
    <col min="7" max="66" width="12.5546875" customWidth="1"/>
  </cols>
  <sheetData>
    <row r="3" spans="1:66" x14ac:dyDescent="0.3"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x14ac:dyDescent="0.3">
      <c r="C4" s="56"/>
      <c r="D4" s="56"/>
      <c r="E4" s="56"/>
      <c r="F4" s="56"/>
      <c r="G4" s="60">
        <f>YEAR(G6)</f>
        <v>2024</v>
      </c>
      <c r="H4" s="60">
        <f t="shared" ref="H4:AD4" si="0">YEAR(H6)</f>
        <v>2024</v>
      </c>
      <c r="I4" s="60">
        <f t="shared" si="0"/>
        <v>2024</v>
      </c>
      <c r="J4" s="60">
        <f t="shared" si="0"/>
        <v>2024</v>
      </c>
      <c r="K4" s="60">
        <f t="shared" si="0"/>
        <v>2024</v>
      </c>
      <c r="L4" s="60">
        <f t="shared" si="0"/>
        <v>2024</v>
      </c>
      <c r="M4" s="60">
        <f t="shared" si="0"/>
        <v>2024</v>
      </c>
      <c r="N4" s="60">
        <f t="shared" si="0"/>
        <v>2024</v>
      </c>
      <c r="O4" s="60">
        <f t="shared" si="0"/>
        <v>2024</v>
      </c>
      <c r="P4" s="60">
        <f t="shared" si="0"/>
        <v>2024</v>
      </c>
      <c r="Q4" s="60">
        <f t="shared" si="0"/>
        <v>2024</v>
      </c>
      <c r="R4" s="60">
        <f t="shared" si="0"/>
        <v>2024</v>
      </c>
      <c r="S4" s="60">
        <f t="shared" si="0"/>
        <v>2025</v>
      </c>
      <c r="T4" s="60">
        <f t="shared" si="0"/>
        <v>2025</v>
      </c>
      <c r="U4" s="60">
        <f t="shared" si="0"/>
        <v>2025</v>
      </c>
      <c r="V4" s="60">
        <f t="shared" si="0"/>
        <v>2025</v>
      </c>
      <c r="W4" s="60">
        <f t="shared" si="0"/>
        <v>2025</v>
      </c>
      <c r="X4" s="60">
        <f t="shared" si="0"/>
        <v>2025</v>
      </c>
      <c r="Y4" s="60">
        <f t="shared" si="0"/>
        <v>2025</v>
      </c>
      <c r="Z4" s="60">
        <f t="shared" si="0"/>
        <v>2025</v>
      </c>
      <c r="AA4" s="60">
        <f t="shared" si="0"/>
        <v>2025</v>
      </c>
      <c r="AB4" s="60">
        <f t="shared" si="0"/>
        <v>2025</v>
      </c>
      <c r="AC4" s="60">
        <f t="shared" si="0"/>
        <v>2025</v>
      </c>
      <c r="AD4" s="60">
        <f t="shared" si="0"/>
        <v>2025</v>
      </c>
      <c r="AE4" s="60">
        <f t="shared" ref="AE4:BN4" si="1">YEAR(AE6)</f>
        <v>2026</v>
      </c>
      <c r="AF4" s="60">
        <f t="shared" si="1"/>
        <v>2026</v>
      </c>
      <c r="AG4" s="60">
        <f t="shared" si="1"/>
        <v>2026</v>
      </c>
      <c r="AH4" s="60">
        <f t="shared" si="1"/>
        <v>2026</v>
      </c>
      <c r="AI4" s="60">
        <f t="shared" si="1"/>
        <v>2026</v>
      </c>
      <c r="AJ4" s="60">
        <f t="shared" si="1"/>
        <v>2026</v>
      </c>
      <c r="AK4" s="60">
        <f t="shared" si="1"/>
        <v>2026</v>
      </c>
      <c r="AL4" s="60">
        <f t="shared" si="1"/>
        <v>2026</v>
      </c>
      <c r="AM4" s="60">
        <f t="shared" si="1"/>
        <v>2026</v>
      </c>
      <c r="AN4" s="60">
        <f t="shared" si="1"/>
        <v>2026</v>
      </c>
      <c r="AO4" s="60">
        <f t="shared" si="1"/>
        <v>2026</v>
      </c>
      <c r="AP4" s="60">
        <f t="shared" si="1"/>
        <v>2026</v>
      </c>
      <c r="AQ4" s="60">
        <f t="shared" si="1"/>
        <v>2027</v>
      </c>
      <c r="AR4" s="60">
        <f t="shared" si="1"/>
        <v>2027</v>
      </c>
      <c r="AS4" s="60">
        <f t="shared" si="1"/>
        <v>2027</v>
      </c>
      <c r="AT4" s="60">
        <f t="shared" si="1"/>
        <v>2027</v>
      </c>
      <c r="AU4" s="60">
        <f t="shared" si="1"/>
        <v>2027</v>
      </c>
      <c r="AV4" s="60">
        <f t="shared" si="1"/>
        <v>2027</v>
      </c>
      <c r="AW4" s="60">
        <f t="shared" si="1"/>
        <v>2027</v>
      </c>
      <c r="AX4" s="60">
        <f t="shared" si="1"/>
        <v>2027</v>
      </c>
      <c r="AY4" s="60">
        <f t="shared" si="1"/>
        <v>2027</v>
      </c>
      <c r="AZ4" s="60">
        <f t="shared" si="1"/>
        <v>2027</v>
      </c>
      <c r="BA4" s="60">
        <f t="shared" si="1"/>
        <v>2027</v>
      </c>
      <c r="BB4" s="60">
        <f t="shared" si="1"/>
        <v>2027</v>
      </c>
      <c r="BC4" s="60">
        <f t="shared" si="1"/>
        <v>2028</v>
      </c>
      <c r="BD4" s="60">
        <f t="shared" si="1"/>
        <v>2028</v>
      </c>
      <c r="BE4" s="60">
        <f t="shared" si="1"/>
        <v>2028</v>
      </c>
      <c r="BF4" s="60">
        <f t="shared" si="1"/>
        <v>2028</v>
      </c>
      <c r="BG4" s="60">
        <f t="shared" si="1"/>
        <v>2028</v>
      </c>
      <c r="BH4" s="60">
        <f t="shared" si="1"/>
        <v>2028</v>
      </c>
      <c r="BI4" s="60">
        <f t="shared" si="1"/>
        <v>2028</v>
      </c>
      <c r="BJ4" s="60">
        <f t="shared" si="1"/>
        <v>2028</v>
      </c>
      <c r="BK4" s="60">
        <f t="shared" si="1"/>
        <v>2028</v>
      </c>
      <c r="BL4" s="60">
        <f t="shared" si="1"/>
        <v>2028</v>
      </c>
      <c r="BM4" s="60">
        <f t="shared" si="1"/>
        <v>2028</v>
      </c>
      <c r="BN4" s="60">
        <f t="shared" si="1"/>
        <v>2028</v>
      </c>
    </row>
    <row r="5" spans="1:66" x14ac:dyDescent="0.3">
      <c r="C5" s="56"/>
      <c r="D5" s="56"/>
      <c r="E5" s="56"/>
      <c r="F5" s="56"/>
      <c r="G5" s="59">
        <f>ROUNDUP(MONTH(G6)/3,0)</f>
        <v>1</v>
      </c>
      <c r="H5" s="59">
        <f t="shared" ref="H5:BN5" si="2">ROUNDUP(MONTH(H6)/3,0)</f>
        <v>1</v>
      </c>
      <c r="I5" s="59">
        <f t="shared" si="2"/>
        <v>1</v>
      </c>
      <c r="J5" s="59">
        <f t="shared" si="2"/>
        <v>2</v>
      </c>
      <c r="K5" s="59">
        <f t="shared" si="2"/>
        <v>2</v>
      </c>
      <c r="L5" s="59">
        <f t="shared" si="2"/>
        <v>2</v>
      </c>
      <c r="M5" s="59">
        <f t="shared" si="2"/>
        <v>3</v>
      </c>
      <c r="N5" s="59">
        <f t="shared" si="2"/>
        <v>3</v>
      </c>
      <c r="O5" s="59">
        <f t="shared" si="2"/>
        <v>3</v>
      </c>
      <c r="P5" s="59">
        <f t="shared" si="2"/>
        <v>4</v>
      </c>
      <c r="Q5" s="59">
        <f t="shared" si="2"/>
        <v>4</v>
      </c>
      <c r="R5" s="59">
        <f t="shared" si="2"/>
        <v>4</v>
      </c>
      <c r="S5" s="59">
        <f t="shared" si="2"/>
        <v>1</v>
      </c>
      <c r="T5" s="59">
        <f t="shared" si="2"/>
        <v>1</v>
      </c>
      <c r="U5" s="59">
        <f t="shared" si="2"/>
        <v>1</v>
      </c>
      <c r="V5" s="59">
        <f t="shared" si="2"/>
        <v>2</v>
      </c>
      <c r="W5" s="59">
        <f t="shared" si="2"/>
        <v>2</v>
      </c>
      <c r="X5" s="59">
        <f t="shared" si="2"/>
        <v>2</v>
      </c>
      <c r="Y5" s="59">
        <f t="shared" si="2"/>
        <v>3</v>
      </c>
      <c r="Z5" s="59">
        <f t="shared" si="2"/>
        <v>3</v>
      </c>
      <c r="AA5" s="59">
        <f t="shared" si="2"/>
        <v>3</v>
      </c>
      <c r="AB5" s="59">
        <f t="shared" si="2"/>
        <v>4</v>
      </c>
      <c r="AC5" s="59">
        <f t="shared" si="2"/>
        <v>4</v>
      </c>
      <c r="AD5" s="59">
        <f t="shared" si="2"/>
        <v>4</v>
      </c>
      <c r="AE5" s="59">
        <f t="shared" si="2"/>
        <v>1</v>
      </c>
      <c r="AF5" s="59">
        <f t="shared" si="2"/>
        <v>1</v>
      </c>
      <c r="AG5" s="59">
        <f t="shared" si="2"/>
        <v>1</v>
      </c>
      <c r="AH5" s="59">
        <f t="shared" si="2"/>
        <v>2</v>
      </c>
      <c r="AI5" s="59">
        <f t="shared" si="2"/>
        <v>2</v>
      </c>
      <c r="AJ5" s="59">
        <f t="shared" si="2"/>
        <v>2</v>
      </c>
      <c r="AK5" s="59">
        <f t="shared" si="2"/>
        <v>3</v>
      </c>
      <c r="AL5" s="59">
        <f t="shared" si="2"/>
        <v>3</v>
      </c>
      <c r="AM5" s="59">
        <f t="shared" si="2"/>
        <v>3</v>
      </c>
      <c r="AN5" s="59">
        <f t="shared" si="2"/>
        <v>4</v>
      </c>
      <c r="AO5" s="59">
        <f t="shared" si="2"/>
        <v>4</v>
      </c>
      <c r="AP5" s="59">
        <f t="shared" si="2"/>
        <v>4</v>
      </c>
      <c r="AQ5" s="59">
        <f t="shared" si="2"/>
        <v>1</v>
      </c>
      <c r="AR5" s="59">
        <f t="shared" si="2"/>
        <v>1</v>
      </c>
      <c r="AS5" s="59">
        <f t="shared" si="2"/>
        <v>1</v>
      </c>
      <c r="AT5" s="59">
        <f t="shared" si="2"/>
        <v>2</v>
      </c>
      <c r="AU5" s="59">
        <f t="shared" si="2"/>
        <v>2</v>
      </c>
      <c r="AV5" s="59">
        <f t="shared" si="2"/>
        <v>2</v>
      </c>
      <c r="AW5" s="59">
        <f t="shared" si="2"/>
        <v>3</v>
      </c>
      <c r="AX5" s="59">
        <f t="shared" si="2"/>
        <v>3</v>
      </c>
      <c r="AY5" s="59">
        <f t="shared" si="2"/>
        <v>3</v>
      </c>
      <c r="AZ5" s="59">
        <f t="shared" si="2"/>
        <v>4</v>
      </c>
      <c r="BA5" s="59">
        <f t="shared" si="2"/>
        <v>4</v>
      </c>
      <c r="BB5" s="59">
        <f t="shared" si="2"/>
        <v>4</v>
      </c>
      <c r="BC5" s="59">
        <f t="shared" si="2"/>
        <v>1</v>
      </c>
      <c r="BD5" s="59">
        <f t="shared" si="2"/>
        <v>1</v>
      </c>
      <c r="BE5" s="59">
        <f t="shared" si="2"/>
        <v>1</v>
      </c>
      <c r="BF5" s="59">
        <f t="shared" si="2"/>
        <v>2</v>
      </c>
      <c r="BG5" s="59">
        <f t="shared" si="2"/>
        <v>2</v>
      </c>
      <c r="BH5" s="59">
        <f t="shared" si="2"/>
        <v>2</v>
      </c>
      <c r="BI5" s="59">
        <f t="shared" si="2"/>
        <v>3</v>
      </c>
      <c r="BJ5" s="59">
        <f t="shared" si="2"/>
        <v>3</v>
      </c>
      <c r="BK5" s="59">
        <f t="shared" si="2"/>
        <v>3</v>
      </c>
      <c r="BL5" s="59">
        <f t="shared" si="2"/>
        <v>4</v>
      </c>
      <c r="BM5" s="59">
        <f t="shared" si="2"/>
        <v>4</v>
      </c>
      <c r="BN5" s="59">
        <f t="shared" si="2"/>
        <v>4</v>
      </c>
    </row>
    <row r="6" spans="1:66" x14ac:dyDescent="0.3">
      <c r="C6" s="56"/>
      <c r="D6" s="56"/>
      <c r="E6" s="56"/>
      <c r="F6" s="56"/>
      <c r="G6" s="61">
        <v>45292</v>
      </c>
      <c r="H6" s="61">
        <f t="shared" ref="H6:BN6" si="3">EDATE($G6,H$7-1)</f>
        <v>45323</v>
      </c>
      <c r="I6" s="61">
        <f t="shared" si="3"/>
        <v>45352</v>
      </c>
      <c r="J6" s="61">
        <f t="shared" si="3"/>
        <v>45383</v>
      </c>
      <c r="K6" s="61">
        <f t="shared" si="3"/>
        <v>45413</v>
      </c>
      <c r="L6" s="61">
        <f t="shared" si="3"/>
        <v>45444</v>
      </c>
      <c r="M6" s="61">
        <f t="shared" si="3"/>
        <v>45474</v>
      </c>
      <c r="N6" s="61">
        <f t="shared" si="3"/>
        <v>45505</v>
      </c>
      <c r="O6" s="61">
        <f t="shared" si="3"/>
        <v>45536</v>
      </c>
      <c r="P6" s="61">
        <f t="shared" si="3"/>
        <v>45566</v>
      </c>
      <c r="Q6" s="61">
        <f t="shared" si="3"/>
        <v>45597</v>
      </c>
      <c r="R6" s="61">
        <f t="shared" si="3"/>
        <v>45627</v>
      </c>
      <c r="S6" s="61">
        <f t="shared" si="3"/>
        <v>45658</v>
      </c>
      <c r="T6" s="61">
        <f t="shared" si="3"/>
        <v>45689</v>
      </c>
      <c r="U6" s="61">
        <f t="shared" si="3"/>
        <v>45717</v>
      </c>
      <c r="V6" s="61">
        <f t="shared" si="3"/>
        <v>45748</v>
      </c>
      <c r="W6" s="61">
        <f t="shared" si="3"/>
        <v>45778</v>
      </c>
      <c r="X6" s="61">
        <f t="shared" si="3"/>
        <v>45809</v>
      </c>
      <c r="Y6" s="61">
        <f t="shared" si="3"/>
        <v>45839</v>
      </c>
      <c r="Z6" s="61">
        <f t="shared" si="3"/>
        <v>45870</v>
      </c>
      <c r="AA6" s="61">
        <f t="shared" si="3"/>
        <v>45901</v>
      </c>
      <c r="AB6" s="61">
        <f t="shared" si="3"/>
        <v>45931</v>
      </c>
      <c r="AC6" s="61">
        <f t="shared" si="3"/>
        <v>45962</v>
      </c>
      <c r="AD6" s="61">
        <f t="shared" si="3"/>
        <v>45992</v>
      </c>
      <c r="AE6" s="61">
        <f t="shared" si="3"/>
        <v>46023</v>
      </c>
      <c r="AF6" s="61">
        <f t="shared" si="3"/>
        <v>46054</v>
      </c>
      <c r="AG6" s="61">
        <f t="shared" si="3"/>
        <v>46082</v>
      </c>
      <c r="AH6" s="61">
        <f t="shared" si="3"/>
        <v>46113</v>
      </c>
      <c r="AI6" s="61">
        <f t="shared" si="3"/>
        <v>46143</v>
      </c>
      <c r="AJ6" s="61">
        <f t="shared" si="3"/>
        <v>46174</v>
      </c>
      <c r="AK6" s="61">
        <f t="shared" si="3"/>
        <v>46204</v>
      </c>
      <c r="AL6" s="61">
        <f t="shared" si="3"/>
        <v>46235</v>
      </c>
      <c r="AM6" s="61">
        <f t="shared" si="3"/>
        <v>46266</v>
      </c>
      <c r="AN6" s="61">
        <f t="shared" si="3"/>
        <v>46296</v>
      </c>
      <c r="AO6" s="61">
        <f t="shared" si="3"/>
        <v>46327</v>
      </c>
      <c r="AP6" s="61">
        <f t="shared" si="3"/>
        <v>46357</v>
      </c>
      <c r="AQ6" s="61">
        <f t="shared" si="3"/>
        <v>46388</v>
      </c>
      <c r="AR6" s="61">
        <f t="shared" si="3"/>
        <v>46419</v>
      </c>
      <c r="AS6" s="61">
        <f t="shared" si="3"/>
        <v>46447</v>
      </c>
      <c r="AT6" s="61">
        <f t="shared" si="3"/>
        <v>46478</v>
      </c>
      <c r="AU6" s="61">
        <f t="shared" si="3"/>
        <v>46508</v>
      </c>
      <c r="AV6" s="61">
        <f t="shared" si="3"/>
        <v>46539</v>
      </c>
      <c r="AW6" s="61">
        <f t="shared" si="3"/>
        <v>46569</v>
      </c>
      <c r="AX6" s="61">
        <f t="shared" si="3"/>
        <v>46600</v>
      </c>
      <c r="AY6" s="61">
        <f t="shared" si="3"/>
        <v>46631</v>
      </c>
      <c r="AZ6" s="61">
        <f t="shared" si="3"/>
        <v>46661</v>
      </c>
      <c r="BA6" s="61">
        <f t="shared" si="3"/>
        <v>46692</v>
      </c>
      <c r="BB6" s="61">
        <f t="shared" si="3"/>
        <v>46722</v>
      </c>
      <c r="BC6" s="61">
        <f t="shared" si="3"/>
        <v>46753</v>
      </c>
      <c r="BD6" s="61">
        <f t="shared" si="3"/>
        <v>46784</v>
      </c>
      <c r="BE6" s="61">
        <f t="shared" si="3"/>
        <v>46813</v>
      </c>
      <c r="BF6" s="61">
        <f t="shared" si="3"/>
        <v>46844</v>
      </c>
      <c r="BG6" s="61">
        <f t="shared" si="3"/>
        <v>46874</v>
      </c>
      <c r="BH6" s="61">
        <f t="shared" si="3"/>
        <v>46905</v>
      </c>
      <c r="BI6" s="61">
        <f t="shared" si="3"/>
        <v>46935</v>
      </c>
      <c r="BJ6" s="61">
        <f t="shared" si="3"/>
        <v>46966</v>
      </c>
      <c r="BK6" s="61">
        <f t="shared" si="3"/>
        <v>46997</v>
      </c>
      <c r="BL6" s="61">
        <f t="shared" si="3"/>
        <v>47027</v>
      </c>
      <c r="BM6" s="61">
        <f t="shared" si="3"/>
        <v>47058</v>
      </c>
      <c r="BN6" s="61">
        <f t="shared" si="3"/>
        <v>47088</v>
      </c>
    </row>
    <row r="7" spans="1:66" x14ac:dyDescent="0.3">
      <c r="C7" s="57"/>
      <c r="D7" s="57"/>
      <c r="E7" s="166" t="s">
        <v>15</v>
      </c>
      <c r="F7" s="57"/>
      <c r="G7" s="58">
        <v>1</v>
      </c>
      <c r="H7" s="58">
        <f>G7+1</f>
        <v>2</v>
      </c>
      <c r="I7" s="58">
        <f t="shared" ref="I7:AD7" si="4">H7+1</f>
        <v>3</v>
      </c>
      <c r="J7" s="58">
        <f t="shared" si="4"/>
        <v>4</v>
      </c>
      <c r="K7" s="58">
        <f t="shared" si="4"/>
        <v>5</v>
      </c>
      <c r="L7" s="58">
        <f t="shared" si="4"/>
        <v>6</v>
      </c>
      <c r="M7" s="58">
        <f t="shared" si="4"/>
        <v>7</v>
      </c>
      <c r="N7" s="58">
        <f t="shared" si="4"/>
        <v>8</v>
      </c>
      <c r="O7" s="58">
        <f t="shared" si="4"/>
        <v>9</v>
      </c>
      <c r="P7" s="58">
        <f t="shared" si="4"/>
        <v>10</v>
      </c>
      <c r="Q7" s="58">
        <f t="shared" si="4"/>
        <v>11</v>
      </c>
      <c r="R7" s="58">
        <f t="shared" si="4"/>
        <v>12</v>
      </c>
      <c r="S7" s="58">
        <f t="shared" si="4"/>
        <v>13</v>
      </c>
      <c r="T7" s="58">
        <f t="shared" si="4"/>
        <v>14</v>
      </c>
      <c r="U7" s="58">
        <f t="shared" si="4"/>
        <v>15</v>
      </c>
      <c r="V7" s="58">
        <f t="shared" si="4"/>
        <v>16</v>
      </c>
      <c r="W7" s="58">
        <f t="shared" si="4"/>
        <v>17</v>
      </c>
      <c r="X7" s="58">
        <f t="shared" si="4"/>
        <v>18</v>
      </c>
      <c r="Y7" s="58">
        <f t="shared" si="4"/>
        <v>19</v>
      </c>
      <c r="Z7" s="58">
        <f t="shared" si="4"/>
        <v>20</v>
      </c>
      <c r="AA7" s="58">
        <f t="shared" si="4"/>
        <v>21</v>
      </c>
      <c r="AB7" s="58">
        <f t="shared" si="4"/>
        <v>22</v>
      </c>
      <c r="AC7" s="58">
        <f t="shared" si="4"/>
        <v>23</v>
      </c>
      <c r="AD7" s="58">
        <f t="shared" si="4"/>
        <v>24</v>
      </c>
      <c r="AE7" s="58">
        <f t="shared" ref="AE7" si="5">AD7+1</f>
        <v>25</v>
      </c>
      <c r="AF7" s="58">
        <f t="shared" ref="AF7" si="6">AE7+1</f>
        <v>26</v>
      </c>
      <c r="AG7" s="58">
        <f t="shared" ref="AG7" si="7">AF7+1</f>
        <v>27</v>
      </c>
      <c r="AH7" s="58">
        <f t="shared" ref="AH7" si="8">AG7+1</f>
        <v>28</v>
      </c>
      <c r="AI7" s="58">
        <f t="shared" ref="AI7" si="9">AH7+1</f>
        <v>29</v>
      </c>
      <c r="AJ7" s="58">
        <f t="shared" ref="AJ7" si="10">AI7+1</f>
        <v>30</v>
      </c>
      <c r="AK7" s="58">
        <f t="shared" ref="AK7" si="11">AJ7+1</f>
        <v>31</v>
      </c>
      <c r="AL7" s="58">
        <f t="shared" ref="AL7" si="12">AK7+1</f>
        <v>32</v>
      </c>
      <c r="AM7" s="58">
        <f t="shared" ref="AM7" si="13">AL7+1</f>
        <v>33</v>
      </c>
      <c r="AN7" s="58">
        <f t="shared" ref="AN7" si="14">AM7+1</f>
        <v>34</v>
      </c>
      <c r="AO7" s="58">
        <f t="shared" ref="AO7" si="15">AN7+1</f>
        <v>35</v>
      </c>
      <c r="AP7" s="58">
        <f t="shared" ref="AP7" si="16">AO7+1</f>
        <v>36</v>
      </c>
      <c r="AQ7" s="58">
        <f t="shared" ref="AQ7" si="17">AP7+1</f>
        <v>37</v>
      </c>
      <c r="AR7" s="58">
        <f t="shared" ref="AR7" si="18">AQ7+1</f>
        <v>38</v>
      </c>
      <c r="AS7" s="58">
        <f t="shared" ref="AS7" si="19">AR7+1</f>
        <v>39</v>
      </c>
      <c r="AT7" s="58">
        <f t="shared" ref="AT7" si="20">AS7+1</f>
        <v>40</v>
      </c>
      <c r="AU7" s="58">
        <f t="shared" ref="AU7" si="21">AT7+1</f>
        <v>41</v>
      </c>
      <c r="AV7" s="58">
        <f t="shared" ref="AV7" si="22">AU7+1</f>
        <v>42</v>
      </c>
      <c r="AW7" s="58">
        <f t="shared" ref="AW7" si="23">AV7+1</f>
        <v>43</v>
      </c>
      <c r="AX7" s="58">
        <f t="shared" ref="AX7" si="24">AW7+1</f>
        <v>44</v>
      </c>
      <c r="AY7" s="58">
        <f t="shared" ref="AY7" si="25">AX7+1</f>
        <v>45</v>
      </c>
      <c r="AZ7" s="58">
        <f t="shared" ref="AZ7" si="26">AY7+1</f>
        <v>46</v>
      </c>
      <c r="BA7" s="58">
        <f t="shared" ref="BA7" si="27">AZ7+1</f>
        <v>47</v>
      </c>
      <c r="BB7" s="58">
        <f t="shared" ref="BB7" si="28">BA7+1</f>
        <v>48</v>
      </c>
      <c r="BC7" s="58">
        <f t="shared" ref="BC7" si="29">BB7+1</f>
        <v>49</v>
      </c>
      <c r="BD7" s="58">
        <f t="shared" ref="BD7" si="30">BC7+1</f>
        <v>50</v>
      </c>
      <c r="BE7" s="58">
        <f t="shared" ref="BE7" si="31">BD7+1</f>
        <v>51</v>
      </c>
      <c r="BF7" s="58">
        <f t="shared" ref="BF7" si="32">BE7+1</f>
        <v>52</v>
      </c>
      <c r="BG7" s="58">
        <f t="shared" ref="BG7" si="33">BF7+1</f>
        <v>53</v>
      </c>
      <c r="BH7" s="58">
        <f t="shared" ref="BH7" si="34">BG7+1</f>
        <v>54</v>
      </c>
      <c r="BI7" s="58">
        <f t="shared" ref="BI7" si="35">BH7+1</f>
        <v>55</v>
      </c>
      <c r="BJ7" s="58">
        <f t="shared" ref="BJ7" si="36">BI7+1</f>
        <v>56</v>
      </c>
      <c r="BK7" s="58">
        <f t="shared" ref="BK7" si="37">BJ7+1</f>
        <v>57</v>
      </c>
      <c r="BL7" s="58">
        <f t="shared" ref="BL7" si="38">BK7+1</f>
        <v>58</v>
      </c>
      <c r="BM7" s="58">
        <f t="shared" ref="BM7" si="39">BL7+1</f>
        <v>59</v>
      </c>
      <c r="BN7" s="58">
        <f t="shared" ref="BN7" si="40">BM7+1</f>
        <v>60</v>
      </c>
    </row>
    <row r="8" spans="1:66" ht="14.4" customHeight="1" x14ac:dyDescent="0.3"/>
    <row r="9" spans="1:66" ht="14.4" customHeight="1" x14ac:dyDescent="0.3">
      <c r="A9" s="22" t="s">
        <v>0</v>
      </c>
      <c r="B9" s="22" t="s">
        <v>0</v>
      </c>
      <c r="C9" s="53" t="s">
        <v>60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</row>
    <row r="10" spans="1:66" ht="14.4" customHeight="1" x14ac:dyDescent="0.3"/>
    <row r="11" spans="1:66" ht="14.4" customHeight="1" x14ac:dyDescent="0.3">
      <c r="C11" t="s">
        <v>61</v>
      </c>
      <c r="G11" s="62">
        <f>'Subscribers &amp; Revenue'!G42</f>
        <v>145</v>
      </c>
      <c r="H11" s="62">
        <f>'Subscribers &amp; Revenue'!H42</f>
        <v>289</v>
      </c>
      <c r="I11" s="62">
        <f>'Subscribers &amp; Revenue'!I42</f>
        <v>435</v>
      </c>
      <c r="J11" s="62">
        <f>'Subscribers &amp; Revenue'!J42</f>
        <v>583</v>
      </c>
      <c r="K11" s="62">
        <f>'Subscribers &amp; Revenue'!K42</f>
        <v>736</v>
      </c>
      <c r="L11" s="62">
        <f>'Subscribers &amp; Revenue'!L42</f>
        <v>895</v>
      </c>
      <c r="M11" s="62">
        <f>'Subscribers &amp; Revenue'!M42</f>
        <v>1062</v>
      </c>
      <c r="N11" s="62">
        <f>'Subscribers &amp; Revenue'!N42</f>
        <v>1238</v>
      </c>
      <c r="O11" s="62">
        <f>'Subscribers &amp; Revenue'!O42</f>
        <v>1425</v>
      </c>
      <c r="P11" s="62">
        <f>'Subscribers &amp; Revenue'!P42</f>
        <v>1624</v>
      </c>
      <c r="Q11" s="62">
        <f>'Subscribers &amp; Revenue'!Q42</f>
        <v>1836</v>
      </c>
      <c r="R11" s="62">
        <f>'Subscribers &amp; Revenue'!R42</f>
        <v>2063</v>
      </c>
      <c r="S11" s="62">
        <f>'Subscribers &amp; Revenue'!S42</f>
        <v>2289</v>
      </c>
      <c r="T11" s="62">
        <f>'Subscribers &amp; Revenue'!T42</f>
        <v>2532</v>
      </c>
      <c r="U11" s="62">
        <f>'Subscribers &amp; Revenue'!U42</f>
        <v>2794</v>
      </c>
      <c r="V11" s="62">
        <f>'Subscribers &amp; Revenue'!V42</f>
        <v>3078</v>
      </c>
      <c r="W11" s="62">
        <f>'Subscribers &amp; Revenue'!W42</f>
        <v>3385</v>
      </c>
      <c r="X11" s="62">
        <f>'Subscribers &amp; Revenue'!X42</f>
        <v>3717</v>
      </c>
      <c r="Y11" s="62">
        <f>'Subscribers &amp; Revenue'!Y42</f>
        <v>4077</v>
      </c>
      <c r="Z11" s="62">
        <f>'Subscribers &amp; Revenue'!Z42</f>
        <v>4468</v>
      </c>
      <c r="AA11" s="62">
        <f>'Subscribers &amp; Revenue'!AA42</f>
        <v>4892</v>
      </c>
      <c r="AB11" s="62">
        <f>'Subscribers &amp; Revenue'!AB42</f>
        <v>5354</v>
      </c>
      <c r="AC11" s="62">
        <f>'Subscribers &amp; Revenue'!AC42</f>
        <v>5856</v>
      </c>
      <c r="AD11" s="62">
        <f>'Subscribers &amp; Revenue'!AD42</f>
        <v>6400</v>
      </c>
      <c r="AE11" s="62">
        <f>'Subscribers &amp; Revenue'!AE42</f>
        <v>6993</v>
      </c>
      <c r="AF11" s="62">
        <f>'Subscribers &amp; Revenue'!AF42</f>
        <v>7637</v>
      </c>
      <c r="AG11" s="62">
        <f>'Subscribers &amp; Revenue'!AG42</f>
        <v>8338</v>
      </c>
      <c r="AH11" s="62">
        <f>'Subscribers &amp; Revenue'!AH42</f>
        <v>9102</v>
      </c>
      <c r="AI11" s="62">
        <f>'Subscribers &amp; Revenue'!AI42</f>
        <v>9932</v>
      </c>
      <c r="AJ11" s="62">
        <f>'Subscribers &amp; Revenue'!AJ42</f>
        <v>10836</v>
      </c>
      <c r="AK11" s="62">
        <f>'Subscribers &amp; Revenue'!AK42</f>
        <v>11820</v>
      </c>
      <c r="AL11" s="62">
        <f>'Subscribers &amp; Revenue'!AL42</f>
        <v>12891</v>
      </c>
      <c r="AM11" s="62">
        <f>'Subscribers &amp; Revenue'!AM42</f>
        <v>14057</v>
      </c>
      <c r="AN11" s="62">
        <f>'Subscribers &amp; Revenue'!AN42</f>
        <v>15327</v>
      </c>
      <c r="AO11" s="62">
        <f>'Subscribers &amp; Revenue'!AO42</f>
        <v>16712</v>
      </c>
      <c r="AP11" s="62">
        <f>'Subscribers &amp; Revenue'!AP42</f>
        <v>18221</v>
      </c>
      <c r="AQ11" s="62">
        <f>'Subscribers &amp; Revenue'!AQ42</f>
        <v>19865</v>
      </c>
      <c r="AR11" s="62">
        <f>'Subscribers &amp; Revenue'!AR42</f>
        <v>21658</v>
      </c>
      <c r="AS11" s="62">
        <f>'Subscribers &amp; Revenue'!AS42</f>
        <v>23614</v>
      </c>
      <c r="AT11" s="62">
        <f>'Subscribers &amp; Revenue'!AT42</f>
        <v>25746</v>
      </c>
      <c r="AU11" s="62">
        <f>'Subscribers &amp; Revenue'!AU42</f>
        <v>28073</v>
      </c>
      <c r="AV11" s="62">
        <f>'Subscribers &amp; Revenue'!AV42</f>
        <v>30612</v>
      </c>
      <c r="AW11" s="62">
        <f>'Subscribers &amp; Revenue'!AW42</f>
        <v>33383</v>
      </c>
      <c r="AX11" s="62">
        <f>'Subscribers &amp; Revenue'!AX42</f>
        <v>36408</v>
      </c>
      <c r="AY11" s="62">
        <f>'Subscribers &amp; Revenue'!AY42</f>
        <v>39710</v>
      </c>
      <c r="AZ11" s="62">
        <f>'Subscribers &amp; Revenue'!AZ42</f>
        <v>43314</v>
      </c>
      <c r="BA11" s="62">
        <f>'Subscribers &amp; Revenue'!BA42</f>
        <v>47250</v>
      </c>
      <c r="BB11" s="62">
        <f>'Subscribers &amp; Revenue'!BB42</f>
        <v>51549</v>
      </c>
      <c r="BC11" s="62">
        <f>'Subscribers &amp; Revenue'!BC42</f>
        <v>56244</v>
      </c>
      <c r="BD11" s="62">
        <f>'Subscribers &amp; Revenue'!BD42</f>
        <v>61374</v>
      </c>
      <c r="BE11" s="62">
        <f>'Subscribers &amp; Revenue'!BE42</f>
        <v>66977</v>
      </c>
      <c r="BF11" s="62">
        <f>'Subscribers &amp; Revenue'!BF42</f>
        <v>73100</v>
      </c>
      <c r="BG11" s="62">
        <f>'Subscribers &amp; Revenue'!BG42</f>
        <v>79792</v>
      </c>
      <c r="BH11" s="62">
        <f>'Subscribers &amp; Revenue'!BH42</f>
        <v>87107</v>
      </c>
      <c r="BI11" s="62">
        <f>'Subscribers &amp; Revenue'!BI42</f>
        <v>95102</v>
      </c>
      <c r="BJ11" s="62">
        <f>'Subscribers &amp; Revenue'!BJ42</f>
        <v>103844</v>
      </c>
      <c r="BK11" s="62">
        <f>'Subscribers &amp; Revenue'!BK42</f>
        <v>113402</v>
      </c>
      <c r="BL11" s="62">
        <f>'Subscribers &amp; Revenue'!BL42</f>
        <v>123853</v>
      </c>
      <c r="BM11" s="62">
        <f>'Subscribers &amp; Revenue'!BM42</f>
        <v>135283</v>
      </c>
      <c r="BN11" s="62">
        <f>'Subscribers &amp; Revenue'!BN42</f>
        <v>147786</v>
      </c>
    </row>
    <row r="12" spans="1:66" ht="14.4" customHeight="1" x14ac:dyDescent="0.3">
      <c r="C12" s="25" t="s">
        <v>19</v>
      </c>
      <c r="G12" s="62"/>
      <c r="H12" s="52">
        <f>H11/G11-1</f>
        <v>0.99310344827586206</v>
      </c>
      <c r="I12" s="52">
        <f t="shared" ref="I12:AD12" si="41">I11/H11-1</f>
        <v>0.50519031141868509</v>
      </c>
      <c r="J12" s="52">
        <f t="shared" si="41"/>
        <v>0.3402298850574712</v>
      </c>
      <c r="K12" s="52">
        <f t="shared" si="41"/>
        <v>0.26243567753001718</v>
      </c>
      <c r="L12" s="52">
        <f t="shared" si="41"/>
        <v>0.21603260869565211</v>
      </c>
      <c r="M12" s="52">
        <f t="shared" si="41"/>
        <v>0.18659217877094969</v>
      </c>
      <c r="N12" s="52">
        <f t="shared" si="41"/>
        <v>0.16572504708097924</v>
      </c>
      <c r="O12" s="52">
        <f t="shared" si="41"/>
        <v>0.15105008077544424</v>
      </c>
      <c r="P12" s="52">
        <f t="shared" si="41"/>
        <v>0.13964912280701758</v>
      </c>
      <c r="Q12" s="52">
        <f t="shared" si="41"/>
        <v>0.13054187192118216</v>
      </c>
      <c r="R12" s="52">
        <f t="shared" si="41"/>
        <v>0.1236383442265796</v>
      </c>
      <c r="S12" s="52">
        <f t="shared" si="41"/>
        <v>0.10954920019389247</v>
      </c>
      <c r="T12" s="52">
        <f t="shared" si="41"/>
        <v>0.10615989515072077</v>
      </c>
      <c r="U12" s="52">
        <f t="shared" si="41"/>
        <v>0.10347551342812</v>
      </c>
      <c r="V12" s="52">
        <f t="shared" si="41"/>
        <v>0.10164638511095214</v>
      </c>
      <c r="W12" s="52">
        <f t="shared" si="41"/>
        <v>9.9740090968161166E-2</v>
      </c>
      <c r="X12" s="52">
        <f t="shared" si="41"/>
        <v>9.8079763663220021E-2</v>
      </c>
      <c r="Y12" s="52">
        <f t="shared" si="41"/>
        <v>9.6852300242130651E-2</v>
      </c>
      <c r="Z12" s="52">
        <f t="shared" si="41"/>
        <v>9.5903850870738383E-2</v>
      </c>
      <c r="AA12" s="52">
        <f t="shared" si="41"/>
        <v>9.4897045658012491E-2</v>
      </c>
      <c r="AB12" s="52">
        <f t="shared" si="41"/>
        <v>9.4439901880621457E-2</v>
      </c>
      <c r="AC12" s="52">
        <f t="shared" si="41"/>
        <v>9.3761673515128985E-2</v>
      </c>
      <c r="AD12" s="52">
        <f t="shared" si="41"/>
        <v>9.2896174863388081E-2</v>
      </c>
      <c r="AE12" s="52">
        <f t="shared" ref="AE12" si="42">AE11/AD11-1</f>
        <v>9.2656250000000107E-2</v>
      </c>
      <c r="AF12" s="52">
        <f t="shared" ref="AF12" si="43">AF11/AE11-1</f>
        <v>9.2092092092092015E-2</v>
      </c>
      <c r="AG12" s="52">
        <f t="shared" ref="AG12" si="44">AG11/AF11-1</f>
        <v>9.1789969883462108E-2</v>
      </c>
      <c r="AH12" s="52">
        <f t="shared" ref="AH12" si="45">AH11/AG11-1</f>
        <v>9.1628687934756536E-2</v>
      </c>
      <c r="AI12" s="52">
        <f t="shared" ref="AI12" si="46">AI11/AH11-1</f>
        <v>9.1188749725335194E-2</v>
      </c>
      <c r="AJ12" s="52">
        <f t="shared" ref="AJ12" si="47">AJ11/AI11-1</f>
        <v>9.1018928715263847E-2</v>
      </c>
      <c r="AK12" s="52">
        <f t="shared" ref="AK12" si="48">AK11/AJ11-1</f>
        <v>9.0808416389811741E-2</v>
      </c>
      <c r="AL12" s="52">
        <f t="shared" ref="AL12" si="49">AL11/AK11-1</f>
        <v>9.0609137055837508E-2</v>
      </c>
      <c r="AM12" s="52">
        <f t="shared" ref="AM12" si="50">AM11/AL11-1</f>
        <v>9.0450702040183018E-2</v>
      </c>
      <c r="AN12" s="52">
        <f t="shared" ref="AN12" si="51">AN11/AM11-1</f>
        <v>9.0346446610229725E-2</v>
      </c>
      <c r="AO12" s="52">
        <f t="shared" ref="AO12" si="52">AO11/AN11-1</f>
        <v>9.0363410974098057E-2</v>
      </c>
      <c r="AP12" s="52">
        <f t="shared" ref="AP12" si="53">AP11/AO11-1</f>
        <v>9.0294399234083222E-2</v>
      </c>
      <c r="AQ12" s="52">
        <f t="shared" ref="AQ12" si="54">AQ11/AP11-1</f>
        <v>9.0225563909774431E-2</v>
      </c>
      <c r="AR12" s="52">
        <f t="shared" ref="AR12" si="55">AR11/AQ11-1</f>
        <v>9.0259249937075348E-2</v>
      </c>
      <c r="AS12" s="52">
        <f t="shared" ref="AS12" si="56">AS11/AR11-1</f>
        <v>9.0313048296241538E-2</v>
      </c>
      <c r="AT12" s="52">
        <f t="shared" ref="AT12" si="57">AT11/AS11-1</f>
        <v>9.0285423901075523E-2</v>
      </c>
      <c r="AU12" s="52">
        <f t="shared" ref="AU12" si="58">AU11/AT11-1</f>
        <v>9.0382972112172721E-2</v>
      </c>
      <c r="AV12" s="52">
        <f t="shared" ref="AV12" si="59">AV11/AU11-1</f>
        <v>9.0442774195846454E-2</v>
      </c>
      <c r="AW12" s="52">
        <f t="shared" ref="AW12" si="60">AW11/AV11-1</f>
        <v>9.0520057493793216E-2</v>
      </c>
      <c r="AX12" s="52">
        <f t="shared" ref="AX12" si="61">AX11/AW11-1</f>
        <v>9.06149836743253E-2</v>
      </c>
      <c r="AY12" s="52">
        <f t="shared" ref="AY12" si="62">AY11/AX11-1</f>
        <v>9.0694352889474805E-2</v>
      </c>
      <c r="AZ12" s="52">
        <f t="shared" ref="AZ12" si="63">AZ11/AY11-1</f>
        <v>9.0757995467136698E-2</v>
      </c>
      <c r="BA12" s="52">
        <f t="shared" ref="BA12" si="64">BA11/AZ11-1</f>
        <v>9.0871311816040912E-2</v>
      </c>
      <c r="BB12" s="52">
        <f t="shared" ref="BB12" si="65">BB11/BA11-1</f>
        <v>9.0984126984126945E-2</v>
      </c>
      <c r="BC12" s="52">
        <f t="shared" ref="BC12" si="66">BC11/BB11-1</f>
        <v>9.1078391433393469E-2</v>
      </c>
      <c r="BD12" s="52">
        <f t="shared" ref="BD12" si="67">BD11/BC11-1</f>
        <v>9.1209729037764031E-2</v>
      </c>
      <c r="BE12" s="52">
        <f t="shared" ref="BE12" si="68">BE11/BD11-1</f>
        <v>9.1292729820445118E-2</v>
      </c>
      <c r="BF12" s="52">
        <f t="shared" ref="BF12" si="69">BF11/BE11-1</f>
        <v>9.1419442495184855E-2</v>
      </c>
      <c r="BG12" s="52">
        <f t="shared" ref="BG12" si="70">BG11/BF11-1</f>
        <v>9.1545827633378929E-2</v>
      </c>
      <c r="BH12" s="52">
        <f t="shared" ref="BH12" si="71">BH11/BG11-1</f>
        <v>9.1675857228794788E-2</v>
      </c>
      <c r="BI12" s="52">
        <f t="shared" ref="BI12" si="72">BI11/BH11-1</f>
        <v>9.1783668361899773E-2</v>
      </c>
      <c r="BJ12" s="52">
        <f t="shared" ref="BJ12" si="73">BJ11/BI11-1</f>
        <v>9.1922357048221937E-2</v>
      </c>
      <c r="BK12" s="52">
        <f t="shared" ref="BK12" si="74">BK11/BJ11-1</f>
        <v>9.2041909017372303E-2</v>
      </c>
      <c r="BL12" s="52">
        <f t="shared" ref="BL12" si="75">BL11/BK11-1</f>
        <v>9.2158868450291864E-2</v>
      </c>
      <c r="BM12" s="52">
        <f t="shared" ref="BM12" si="76">BM11/BL11-1</f>
        <v>9.2286823896070347E-2</v>
      </c>
      <c r="BN12" s="52">
        <f t="shared" ref="BN12" si="77">BN11/BM11-1</f>
        <v>9.2421072862074238E-2</v>
      </c>
    </row>
    <row r="13" spans="1:66" ht="3" customHeight="1" x14ac:dyDescent="0.3">
      <c r="H13" s="28"/>
    </row>
    <row r="14" spans="1:66" ht="14.4" customHeight="1" x14ac:dyDescent="0.3">
      <c r="C14" t="s">
        <v>78</v>
      </c>
      <c r="G14" s="62">
        <f>'Subscribers &amp; Revenue'!G36</f>
        <v>145</v>
      </c>
      <c r="H14" s="62">
        <f>'Subscribers &amp; Revenue'!H36</f>
        <v>158</v>
      </c>
      <c r="I14" s="62">
        <f>'Subscribers &amp; Revenue'!I36</f>
        <v>172</v>
      </c>
      <c r="J14" s="62">
        <f>'Subscribers &amp; Revenue'!J36</f>
        <v>187</v>
      </c>
      <c r="K14" s="62">
        <f>'Subscribers &amp; Revenue'!K36</f>
        <v>204</v>
      </c>
      <c r="L14" s="62">
        <f>'Subscribers &amp; Revenue'!L36</f>
        <v>222</v>
      </c>
      <c r="M14" s="62">
        <f>'Subscribers &amp; Revenue'!M36</f>
        <v>242</v>
      </c>
      <c r="N14" s="62">
        <f>'Subscribers &amp; Revenue'!N36</f>
        <v>264</v>
      </c>
      <c r="O14" s="62">
        <f>'Subscribers &amp; Revenue'!O36</f>
        <v>288</v>
      </c>
      <c r="P14" s="62">
        <f>'Subscribers &amp; Revenue'!P36</f>
        <v>314</v>
      </c>
      <c r="Q14" s="62">
        <f>'Subscribers &amp; Revenue'!Q36</f>
        <v>342</v>
      </c>
      <c r="R14" s="62">
        <f>'Subscribers &amp; Revenue'!R36</f>
        <v>373</v>
      </c>
      <c r="S14" s="62">
        <f>'Subscribers &amp; Revenue'!S36</f>
        <v>407</v>
      </c>
      <c r="T14" s="62">
        <f>'Subscribers &amp; Revenue'!T36</f>
        <v>444</v>
      </c>
      <c r="U14" s="62">
        <f>'Subscribers &amp; Revenue'!U36</f>
        <v>484</v>
      </c>
      <c r="V14" s="62">
        <f>'Subscribers &amp; Revenue'!V36</f>
        <v>528</v>
      </c>
      <c r="W14" s="62">
        <f>'Subscribers &amp; Revenue'!W36</f>
        <v>577</v>
      </c>
      <c r="X14" s="62">
        <f>'Subscribers &amp; Revenue'!X36</f>
        <v>629</v>
      </c>
      <c r="Y14" s="62">
        <f>'Subscribers &amp; Revenue'!Y36</f>
        <v>687</v>
      </c>
      <c r="Z14" s="62">
        <f>'Subscribers &amp; Revenue'!Z36</f>
        <v>750</v>
      </c>
      <c r="AA14" s="62">
        <f>'Subscribers &amp; Revenue'!AA36</f>
        <v>819</v>
      </c>
      <c r="AB14" s="62">
        <f>'Subscribers &amp; Revenue'!AB36</f>
        <v>895</v>
      </c>
      <c r="AC14" s="62">
        <f>'Subscribers &amp; Revenue'!AC36</f>
        <v>978</v>
      </c>
      <c r="AD14" s="62">
        <f>'Subscribers &amp; Revenue'!AD36</f>
        <v>1068</v>
      </c>
      <c r="AE14" s="62">
        <f>'Subscribers &amp; Revenue'!AE36</f>
        <v>1167</v>
      </c>
      <c r="AF14" s="62">
        <f>'Subscribers &amp; Revenue'!AF36</f>
        <v>1276</v>
      </c>
      <c r="AG14" s="62">
        <f>'Subscribers &amp; Revenue'!AG36</f>
        <v>1395</v>
      </c>
      <c r="AH14" s="62">
        <f>'Subscribers &amp; Revenue'!AH36</f>
        <v>1525</v>
      </c>
      <c r="AI14" s="62">
        <f>'Subscribers &amp; Revenue'!AI36</f>
        <v>1667</v>
      </c>
      <c r="AJ14" s="62">
        <f>'Subscribers &amp; Revenue'!AJ36</f>
        <v>1823</v>
      </c>
      <c r="AK14" s="62">
        <f>'Subscribers &amp; Revenue'!AK36</f>
        <v>1993</v>
      </c>
      <c r="AL14" s="62">
        <f>'Subscribers &amp; Revenue'!AL36</f>
        <v>2179</v>
      </c>
      <c r="AM14" s="62">
        <f>'Subscribers &amp; Revenue'!AM36</f>
        <v>2383</v>
      </c>
      <c r="AN14" s="62">
        <f>'Subscribers &amp; Revenue'!AN36</f>
        <v>2607</v>
      </c>
      <c r="AO14" s="62">
        <f>'Subscribers &amp; Revenue'!AO36</f>
        <v>2852</v>
      </c>
      <c r="AP14" s="62">
        <f>'Subscribers &amp; Revenue'!AP36</f>
        <v>3120</v>
      </c>
      <c r="AQ14" s="62">
        <f>'Subscribers &amp; Revenue'!AQ36</f>
        <v>3414</v>
      </c>
      <c r="AR14" s="62">
        <f>'Subscribers &amp; Revenue'!AR36</f>
        <v>3737</v>
      </c>
      <c r="AS14" s="62">
        <f>'Subscribers &amp; Revenue'!AS36</f>
        <v>4091</v>
      </c>
      <c r="AT14" s="62">
        <f>'Subscribers &amp; Revenue'!AT36</f>
        <v>4478</v>
      </c>
      <c r="AU14" s="62">
        <f>'Subscribers &amp; Revenue'!AU36</f>
        <v>4903</v>
      </c>
      <c r="AV14" s="62">
        <f>'Subscribers &amp; Revenue'!AV36</f>
        <v>5369</v>
      </c>
      <c r="AW14" s="62">
        <f>'Subscribers &amp; Revenue'!AW36</f>
        <v>5880</v>
      </c>
      <c r="AX14" s="62">
        <f>'Subscribers &amp; Revenue'!AX36</f>
        <v>6440</v>
      </c>
      <c r="AY14" s="62">
        <f>'Subscribers &amp; Revenue'!AY36</f>
        <v>7054</v>
      </c>
      <c r="AZ14" s="62">
        <f>'Subscribers &amp; Revenue'!AZ36</f>
        <v>7727</v>
      </c>
      <c r="BA14" s="62">
        <f>'Subscribers &amp; Revenue'!BA36</f>
        <v>8465</v>
      </c>
      <c r="BB14" s="62">
        <f>'Subscribers &amp; Revenue'!BB36</f>
        <v>9275</v>
      </c>
      <c r="BC14" s="62">
        <f>'Subscribers &amp; Revenue'!BC36</f>
        <v>10163</v>
      </c>
      <c r="BD14" s="62">
        <f>'Subscribers &amp; Revenue'!BD36</f>
        <v>11137</v>
      </c>
      <c r="BE14" s="62">
        <f>'Subscribers &amp; Revenue'!BE36</f>
        <v>12205</v>
      </c>
      <c r="BF14" s="62">
        <f>'Subscribers &amp; Revenue'!BF36</f>
        <v>13377</v>
      </c>
      <c r="BG14" s="62">
        <f>'Subscribers &amp; Revenue'!BG36</f>
        <v>14663</v>
      </c>
      <c r="BH14" s="62">
        <f>'Subscribers &amp; Revenue'!BH36</f>
        <v>16074</v>
      </c>
      <c r="BI14" s="62">
        <f>'Subscribers &amp; Revenue'!BI36</f>
        <v>17622</v>
      </c>
      <c r="BJ14" s="62">
        <f>'Subscribers &amp; Revenue'!BJ36</f>
        <v>19321</v>
      </c>
      <c r="BK14" s="62">
        <f>'Subscribers &amp; Revenue'!BK36</f>
        <v>21185</v>
      </c>
      <c r="BL14" s="62">
        <f>'Subscribers &amp; Revenue'!BL36</f>
        <v>23230</v>
      </c>
      <c r="BM14" s="62">
        <f>'Subscribers &amp; Revenue'!BM36</f>
        <v>25475</v>
      </c>
      <c r="BN14" s="62">
        <f>'Subscribers &amp; Revenue'!BN36</f>
        <v>27939</v>
      </c>
    </row>
    <row r="15" spans="1:66" ht="14.4" customHeight="1" x14ac:dyDescent="0.3">
      <c r="C15" s="25" t="s">
        <v>19</v>
      </c>
      <c r="H15" s="52">
        <f>H14/G14-1</f>
        <v>8.9655172413793061E-2</v>
      </c>
      <c r="I15" s="52">
        <f t="shared" ref="I15:AD15" si="78">I14/H14-1</f>
        <v>8.8607594936708889E-2</v>
      </c>
      <c r="J15" s="52">
        <f t="shared" si="78"/>
        <v>8.7209302325581328E-2</v>
      </c>
      <c r="K15" s="52">
        <f t="shared" si="78"/>
        <v>9.0909090909090828E-2</v>
      </c>
      <c r="L15" s="52">
        <f t="shared" si="78"/>
        <v>8.8235294117646967E-2</v>
      </c>
      <c r="M15" s="52">
        <f t="shared" si="78"/>
        <v>9.0090090090090058E-2</v>
      </c>
      <c r="N15" s="52">
        <f t="shared" si="78"/>
        <v>9.0909090909090828E-2</v>
      </c>
      <c r="O15" s="52">
        <f t="shared" si="78"/>
        <v>9.0909090909090828E-2</v>
      </c>
      <c r="P15" s="52">
        <f t="shared" si="78"/>
        <v>9.0277777777777679E-2</v>
      </c>
      <c r="Q15" s="52">
        <f t="shared" si="78"/>
        <v>8.9171974522292974E-2</v>
      </c>
      <c r="R15" s="52">
        <f t="shared" si="78"/>
        <v>9.0643274853801081E-2</v>
      </c>
      <c r="S15" s="52">
        <f t="shared" si="78"/>
        <v>9.1152815013404886E-2</v>
      </c>
      <c r="T15" s="52">
        <f t="shared" si="78"/>
        <v>9.0909090909090828E-2</v>
      </c>
      <c r="U15" s="52">
        <f t="shared" si="78"/>
        <v>9.0090090090090058E-2</v>
      </c>
      <c r="V15" s="52">
        <f t="shared" si="78"/>
        <v>9.0909090909090828E-2</v>
      </c>
      <c r="W15" s="52">
        <f t="shared" si="78"/>
        <v>9.2803030303030276E-2</v>
      </c>
      <c r="X15" s="52">
        <f t="shared" si="78"/>
        <v>9.0121317157712211E-2</v>
      </c>
      <c r="Y15" s="52">
        <f t="shared" si="78"/>
        <v>9.2209856915739241E-2</v>
      </c>
      <c r="Z15" s="52">
        <f t="shared" si="78"/>
        <v>9.1703056768559055E-2</v>
      </c>
      <c r="AA15" s="52">
        <f t="shared" si="78"/>
        <v>9.2000000000000082E-2</v>
      </c>
      <c r="AB15" s="52">
        <f t="shared" si="78"/>
        <v>9.2796092796092688E-2</v>
      </c>
      <c r="AC15" s="52">
        <f t="shared" si="78"/>
        <v>9.2737430167597834E-2</v>
      </c>
      <c r="AD15" s="52">
        <f t="shared" si="78"/>
        <v>9.2024539877300526E-2</v>
      </c>
      <c r="AE15" s="52">
        <f t="shared" ref="AE15" si="79">AE14/AD14-1</f>
        <v>9.2696629213483206E-2</v>
      </c>
      <c r="AF15" s="52">
        <f t="shared" ref="AF15" si="80">AF14/AE14-1</f>
        <v>9.3401885175664168E-2</v>
      </c>
      <c r="AG15" s="52">
        <f t="shared" ref="AG15" si="81">AG14/AF14-1</f>
        <v>9.3260188087774365E-2</v>
      </c>
      <c r="AH15" s="52">
        <f t="shared" ref="AH15" si="82">AH14/AG14-1</f>
        <v>9.3189964157706084E-2</v>
      </c>
      <c r="AI15" s="52">
        <f t="shared" ref="AI15" si="83">AI14/AH14-1</f>
        <v>9.3114754098360564E-2</v>
      </c>
      <c r="AJ15" s="52">
        <f t="shared" ref="AJ15" si="84">AJ14/AI14-1</f>
        <v>9.3581283743251253E-2</v>
      </c>
      <c r="AK15" s="52">
        <f t="shared" ref="AK15" si="85">AK14/AJ14-1</f>
        <v>9.3252879868348959E-2</v>
      </c>
      <c r="AL15" s="52">
        <f t="shared" ref="AL15" si="86">AL14/AK14-1</f>
        <v>9.3326643251379737E-2</v>
      </c>
      <c r="AM15" s="52">
        <f t="shared" ref="AM15" si="87">AM14/AL14-1</f>
        <v>9.362092703074798E-2</v>
      </c>
      <c r="AN15" s="52">
        <f t="shared" ref="AN15" si="88">AN14/AM14-1</f>
        <v>9.3999160721779162E-2</v>
      </c>
      <c r="AO15" s="52">
        <f t="shared" ref="AO15" si="89">AO14/AN14-1</f>
        <v>9.3977752205600229E-2</v>
      </c>
      <c r="AP15" s="52">
        <f t="shared" ref="AP15" si="90">AP14/AO14-1</f>
        <v>9.3969144460028131E-2</v>
      </c>
      <c r="AQ15" s="52">
        <f t="shared" ref="AQ15" si="91">AQ14/AP14-1</f>
        <v>9.423076923076934E-2</v>
      </c>
      <c r="AR15" s="52">
        <f t="shared" ref="AR15" si="92">AR14/AQ14-1</f>
        <v>9.4610427650849482E-2</v>
      </c>
      <c r="AS15" s="52">
        <f t="shared" ref="AS15" si="93">AS14/AR14-1</f>
        <v>9.4728391758094777E-2</v>
      </c>
      <c r="AT15" s="52">
        <f t="shared" ref="AT15" si="94">AT14/AS14-1</f>
        <v>9.4597897824492794E-2</v>
      </c>
      <c r="AU15" s="52">
        <f t="shared" ref="AU15" si="95">AU14/AT14-1</f>
        <v>9.4908441268423349E-2</v>
      </c>
      <c r="AV15" s="52">
        <f t="shared" ref="AV15" si="96">AV14/AU14-1</f>
        <v>9.5043850703650845E-2</v>
      </c>
      <c r="AW15" s="52">
        <f t="shared" ref="AW15" si="97">AW14/AV14-1</f>
        <v>9.5176010430247704E-2</v>
      </c>
      <c r="AX15" s="52">
        <f t="shared" ref="AX15" si="98">AX14/AW14-1</f>
        <v>9.5238095238095344E-2</v>
      </c>
      <c r="AY15" s="52">
        <f t="shared" ref="AY15" si="99">AY14/AX14-1</f>
        <v>9.5341614906832239E-2</v>
      </c>
      <c r="AZ15" s="52">
        <f t="shared" ref="AZ15" si="100">AZ14/AY14-1</f>
        <v>9.5406861355259442E-2</v>
      </c>
      <c r="BA15" s="52">
        <f t="shared" ref="BA15" si="101">BA14/AZ14-1</f>
        <v>9.5509253267762384E-2</v>
      </c>
      <c r="BB15" s="52">
        <f t="shared" ref="BB15" si="102">BB14/BA14-1</f>
        <v>9.5688127584170113E-2</v>
      </c>
      <c r="BC15" s="52">
        <f t="shared" ref="BC15" si="103">BC14/BB14-1</f>
        <v>9.5741239892183305E-2</v>
      </c>
      <c r="BD15" s="52">
        <f t="shared" ref="BD15" si="104">BD14/BC14-1</f>
        <v>9.5837843156548308E-2</v>
      </c>
      <c r="BE15" s="52">
        <f t="shared" ref="BE15" si="105">BE14/BD14-1</f>
        <v>9.5896561012840165E-2</v>
      </c>
      <c r="BF15" s="52">
        <f t="shared" ref="BF15" si="106">BF14/BE14-1</f>
        <v>9.602621876280204E-2</v>
      </c>
      <c r="BG15" s="52">
        <f t="shared" ref="BG15" si="107">BG14/BF14-1</f>
        <v>9.6135157359647172E-2</v>
      </c>
      <c r="BH15" s="52">
        <f t="shared" ref="BH15" si="108">BH14/BG14-1</f>
        <v>9.6228602605196834E-2</v>
      </c>
      <c r="BI15" s="52">
        <f t="shared" ref="BI15" si="109">BI14/BH14-1</f>
        <v>9.6304591265397477E-2</v>
      </c>
      <c r="BJ15" s="52">
        <f t="shared" ref="BJ15" si="110">BJ14/BI14-1</f>
        <v>9.6413573941663833E-2</v>
      </c>
      <c r="BK15" s="52">
        <f t="shared" ref="BK15" si="111">BK14/BJ14-1</f>
        <v>9.6475337715439258E-2</v>
      </c>
      <c r="BL15" s="52">
        <f t="shared" ref="BL15" si="112">BL14/BK14-1</f>
        <v>9.6530564078357362E-2</v>
      </c>
      <c r="BM15" s="52">
        <f t="shared" ref="BM15" si="113">BM14/BL14-1</f>
        <v>9.6642272922944361E-2</v>
      </c>
      <c r="BN15" s="52">
        <f t="shared" ref="BN15" si="114">BN14/BM14-1</f>
        <v>9.6722276741903812E-2</v>
      </c>
    </row>
    <row r="16" spans="1:66" ht="3" customHeight="1" x14ac:dyDescent="0.3"/>
    <row r="17" spans="1:66" ht="14.4" customHeight="1" x14ac:dyDescent="0.3">
      <c r="C17" t="s">
        <v>44</v>
      </c>
      <c r="G17" s="50">
        <f>'Subscribers &amp; Revenue'!G72</f>
        <v>50550</v>
      </c>
      <c r="H17" s="50">
        <f>'Subscribers &amp; Revenue'!H72</f>
        <v>100620</v>
      </c>
      <c r="I17" s="50">
        <f>'Subscribers &amp; Revenue'!I72</f>
        <v>151290</v>
      </c>
      <c r="J17" s="50">
        <f>'Subscribers &amp; Revenue'!J72</f>
        <v>202560</v>
      </c>
      <c r="K17" s="50">
        <f>'Subscribers &amp; Revenue'!K72</f>
        <v>255480</v>
      </c>
      <c r="L17" s="50">
        <f>'Subscribers &amp; Revenue'!L72</f>
        <v>310410</v>
      </c>
      <c r="M17" s="50">
        <f>'Subscribers &amp; Revenue'!M72</f>
        <v>368070</v>
      </c>
      <c r="N17" s="50">
        <f>'Subscribers &amp; Revenue'!N72</f>
        <v>428790</v>
      </c>
      <c r="O17" s="50">
        <f>'Subscribers &amp; Revenue'!O72</f>
        <v>493290</v>
      </c>
      <c r="P17" s="50">
        <f>'Subscribers &amp; Revenue'!P72</f>
        <v>561900</v>
      </c>
      <c r="Q17" s="50">
        <f>'Subscribers &amp; Revenue'!Q72</f>
        <v>634980</v>
      </c>
      <c r="R17" s="50">
        <f>'Subscribers &amp; Revenue'!R72</f>
        <v>713220</v>
      </c>
      <c r="S17" s="50">
        <f>'Subscribers &amp; Revenue'!S72</f>
        <v>791430</v>
      </c>
      <c r="T17" s="50">
        <f>'Subscribers &amp; Revenue'!T72</f>
        <v>875550</v>
      </c>
      <c r="U17" s="50">
        <f>'Subscribers &amp; Revenue'!U72</f>
        <v>966270</v>
      </c>
      <c r="V17" s="50">
        <f>'Subscribers &amp; Revenue'!V72</f>
        <v>1064640</v>
      </c>
      <c r="W17" s="50">
        <f>'Subscribers &amp; Revenue'!W72</f>
        <v>1171020</v>
      </c>
      <c r="X17" s="50">
        <f>'Subscribers &amp; Revenue'!X72</f>
        <v>1286130</v>
      </c>
      <c r="Y17" s="50">
        <f>'Subscribers &amp; Revenue'!Y72</f>
        <v>1411020</v>
      </c>
      <c r="Z17" s="50">
        <f>'Subscribers &amp; Revenue'!Z72</f>
        <v>1546740</v>
      </c>
      <c r="AA17" s="50">
        <f>'Subscribers &amp; Revenue'!AA72</f>
        <v>1693980</v>
      </c>
      <c r="AB17" s="50">
        <f>'Subscribers &amp; Revenue'!AB72</f>
        <v>1854510</v>
      </c>
      <c r="AC17" s="50">
        <f>'Subscribers &amp; Revenue'!AC72</f>
        <v>2029050</v>
      </c>
      <c r="AD17" s="50">
        <f>'Subscribers &amp; Revenue'!AD72</f>
        <v>2218290</v>
      </c>
      <c r="AE17" s="50">
        <f>'Subscribers &amp; Revenue'!AE72</f>
        <v>2412810</v>
      </c>
      <c r="AF17" s="50">
        <f>'Subscribers &amp; Revenue'!AF72</f>
        <v>2624550</v>
      </c>
      <c r="AG17" s="50">
        <f>'Subscribers &amp; Revenue'!AG72</f>
        <v>2855280</v>
      </c>
      <c r="AH17" s="50">
        <f>'Subscribers &amp; Revenue'!AH72</f>
        <v>3107130</v>
      </c>
      <c r="AI17" s="50">
        <f>'Subscribers &amp; Revenue'!AI72</f>
        <v>3381150</v>
      </c>
      <c r="AJ17" s="50">
        <f>'Subscribers &amp; Revenue'!AJ72</f>
        <v>3680160</v>
      </c>
      <c r="AK17" s="50">
        <f>'Subscribers &amp; Revenue'!AK72</f>
        <v>4006290</v>
      </c>
      <c r="AL17" s="50">
        <f>'Subscribers &amp; Revenue'!AL72</f>
        <v>4361700</v>
      </c>
      <c r="AM17" s="50">
        <f>'Subscribers &amp; Revenue'!AM72</f>
        <v>4749210</v>
      </c>
      <c r="AN17" s="50">
        <f>'Subscribers &amp; Revenue'!AN72</f>
        <v>5171640</v>
      </c>
      <c r="AO17" s="50">
        <f>'Subscribers &amp; Revenue'!AO72</f>
        <v>5633220</v>
      </c>
      <c r="AP17" s="50">
        <f>'Subscribers &amp; Revenue'!AP72</f>
        <v>6136830</v>
      </c>
      <c r="AQ17" s="50">
        <f>'Subscribers &amp; Revenue'!AQ72</f>
        <v>6686040</v>
      </c>
      <c r="AR17" s="50">
        <f>'Subscribers &amp; Revenue'!AR72</f>
        <v>7286130</v>
      </c>
      <c r="AS17" s="50">
        <f>'Subscribers &amp; Revenue'!AS72</f>
        <v>7941720</v>
      </c>
      <c r="AT17" s="50">
        <f>'Subscribers &amp; Revenue'!AT72</f>
        <v>8657100</v>
      </c>
      <c r="AU17" s="50">
        <f>'Subscribers &amp; Revenue'!AU72</f>
        <v>9438990</v>
      </c>
      <c r="AV17" s="50">
        <f>'Subscribers &amp; Revenue'!AV72</f>
        <v>10293420</v>
      </c>
      <c r="AW17" s="50">
        <f>'Subscribers &amp; Revenue'!AW72</f>
        <v>11227170</v>
      </c>
      <c r="AX17" s="50">
        <f>'Subscribers &amp; Revenue'!AX72</f>
        <v>12248040</v>
      </c>
      <c r="AY17" s="50">
        <f>'Subscribers &amp; Revenue'!AY72</f>
        <v>13363860</v>
      </c>
      <c r="AZ17" s="50">
        <f>'Subscribers &amp; Revenue'!AZ72</f>
        <v>14583180</v>
      </c>
      <c r="BA17" s="50">
        <f>'Subscribers &amp; Revenue'!BA72</f>
        <v>15916320</v>
      </c>
      <c r="BB17" s="50">
        <f>'Subscribers &amp; Revenue'!BB72</f>
        <v>17374290</v>
      </c>
      <c r="BC17" s="50">
        <f>'Subscribers &amp; Revenue'!BC72</f>
        <v>18968850</v>
      </c>
      <c r="BD17" s="50">
        <f>'Subscribers &amp; Revenue'!BD72</f>
        <v>20713200</v>
      </c>
      <c r="BE17" s="50">
        <f>'Subscribers &amp; Revenue'!BE72</f>
        <v>22620540</v>
      </c>
      <c r="BF17" s="50">
        <f>'Subscribers &amp; Revenue'!BF72</f>
        <v>24707550</v>
      </c>
      <c r="BG17" s="50">
        <f>'Subscribers &amp; Revenue'!BG72</f>
        <v>26991030</v>
      </c>
      <c r="BH17" s="50">
        <f>'Subscribers &amp; Revenue'!BH72</f>
        <v>29489880</v>
      </c>
      <c r="BI17" s="50">
        <f>'Subscribers &amp; Revenue'!BI72</f>
        <v>32224410</v>
      </c>
      <c r="BJ17" s="50">
        <f>'Subscribers &amp; Revenue'!BJ72</f>
        <v>35217810</v>
      </c>
      <c r="BK17" s="50">
        <f>'Subscribers &amp; Revenue'!BK72</f>
        <v>38494350</v>
      </c>
      <c r="BL17" s="50">
        <f>'Subscribers &amp; Revenue'!BL72</f>
        <v>42080820</v>
      </c>
      <c r="BM17" s="50">
        <f>'Subscribers &amp; Revenue'!BM72</f>
        <v>46007190</v>
      </c>
      <c r="BN17" s="50">
        <f>'Subscribers &amp; Revenue'!BN72</f>
        <v>50306640</v>
      </c>
    </row>
    <row r="18" spans="1:66" ht="14.4" customHeight="1" x14ac:dyDescent="0.3">
      <c r="C18" s="25" t="s">
        <v>19</v>
      </c>
      <c r="H18" s="52">
        <f>H17/G17-1</f>
        <v>0.99050445103857565</v>
      </c>
      <c r="I18" s="52">
        <f t="shared" ref="I18:AD18" si="115">I17/H17-1</f>
        <v>0.50357781753130593</v>
      </c>
      <c r="J18" s="52">
        <f t="shared" si="115"/>
        <v>0.33888558397779089</v>
      </c>
      <c r="K18" s="52">
        <f t="shared" si="115"/>
        <v>0.26125592417061605</v>
      </c>
      <c r="L18" s="52">
        <f t="shared" si="115"/>
        <v>0.21500704556129646</v>
      </c>
      <c r="M18" s="52">
        <f t="shared" si="115"/>
        <v>0.18575432492509902</v>
      </c>
      <c r="N18" s="52">
        <f t="shared" si="115"/>
        <v>0.16496862009943758</v>
      </c>
      <c r="O18" s="52">
        <f t="shared" si="115"/>
        <v>0.15042328412509609</v>
      </c>
      <c r="P18" s="52">
        <f t="shared" si="115"/>
        <v>0.13908654138539189</v>
      </c>
      <c r="Q18" s="52">
        <f t="shared" si="115"/>
        <v>0.13005872931126539</v>
      </c>
      <c r="R18" s="52">
        <f t="shared" si="115"/>
        <v>0.12321647925918922</v>
      </c>
      <c r="S18" s="52">
        <f t="shared" si="115"/>
        <v>0.10965760915285605</v>
      </c>
      <c r="T18" s="52">
        <f t="shared" si="115"/>
        <v>0.10628861680755097</v>
      </c>
      <c r="U18" s="52">
        <f t="shared" si="115"/>
        <v>0.10361487065273267</v>
      </c>
      <c r="V18" s="52">
        <f t="shared" si="115"/>
        <v>0.10180384364618589</v>
      </c>
      <c r="W18" s="52">
        <f t="shared" si="115"/>
        <v>9.9921100090171411E-2</v>
      </c>
      <c r="X18" s="52">
        <f t="shared" si="115"/>
        <v>9.8298918891223108E-2</v>
      </c>
      <c r="Y18" s="52">
        <f t="shared" si="115"/>
        <v>9.7105269296260843E-2</v>
      </c>
      <c r="Z18" s="52">
        <f t="shared" si="115"/>
        <v>9.6185737976782759E-2</v>
      </c>
      <c r="AA18" s="52">
        <f t="shared" si="115"/>
        <v>9.519376236471544E-2</v>
      </c>
      <c r="AB18" s="52">
        <f t="shared" si="115"/>
        <v>9.47649913222115E-2</v>
      </c>
      <c r="AC18" s="52">
        <f t="shared" si="115"/>
        <v>9.4116505168481135E-2</v>
      </c>
      <c r="AD18" s="52">
        <f t="shared" si="115"/>
        <v>9.3265321209432983E-2</v>
      </c>
      <c r="AE18" s="52">
        <f t="shared" ref="AE18" si="116">AE17/AD17-1</f>
        <v>8.768916597920029E-2</v>
      </c>
      <c r="AF18" s="52">
        <f t="shared" ref="AF18" si="117">AF17/AE17-1</f>
        <v>8.775659915202616E-2</v>
      </c>
      <c r="AG18" s="52">
        <f t="shared" ref="AG18" si="118">AG17/AF17-1</f>
        <v>8.7912213522318039E-2</v>
      </c>
      <c r="AH18" s="52">
        <f t="shared" ref="AH18" si="119">AH17/AG17-1</f>
        <v>8.8205009666302514E-2</v>
      </c>
      <c r="AI18" s="52">
        <f t="shared" ref="AI18" si="120">AI17/AH17-1</f>
        <v>8.8190709754661034E-2</v>
      </c>
      <c r="AJ18" s="52">
        <f t="shared" ref="AJ18" si="121">AJ17/AI17-1</f>
        <v>8.8434408411339316E-2</v>
      </c>
      <c r="AK18" s="52">
        <f t="shared" ref="AK18" si="122">AK17/AJ17-1</f>
        <v>8.86184296334942E-2</v>
      </c>
      <c r="AL18" s="52">
        <f t="shared" ref="AL18" si="123">AL17/AK17-1</f>
        <v>8.8712998809372223E-2</v>
      </c>
      <c r="AM18" s="52">
        <f t="shared" ref="AM18" si="124">AM17/AL17-1</f>
        <v>8.8843799435999626E-2</v>
      </c>
      <c r="AN18" s="52">
        <f t="shared" ref="AN18" si="125">AN17/AM17-1</f>
        <v>8.8947424940147846E-2</v>
      </c>
      <c r="AO18" s="52">
        <f t="shared" ref="AO18" si="126">AO17/AN17-1</f>
        <v>8.9252152121957362E-2</v>
      </c>
      <c r="AP18" s="52">
        <f t="shared" ref="AP18" si="127">AP17/AO17-1</f>
        <v>8.9400023432424147E-2</v>
      </c>
      <c r="AQ18" s="52">
        <f t="shared" ref="AQ18" si="128">AQ17/AP17-1</f>
        <v>8.949408733825126E-2</v>
      </c>
      <c r="AR18" s="52">
        <f t="shared" ref="AR18" si="129">AR17/AQ17-1</f>
        <v>8.9752678715652401E-2</v>
      </c>
      <c r="AS18" s="52">
        <f t="shared" ref="AS18" si="130">AS17/AR17-1</f>
        <v>8.9977807148651001E-2</v>
      </c>
      <c r="AT18" s="52">
        <f t="shared" ref="AT18" si="131">AT17/AS17-1</f>
        <v>9.0078723500702562E-2</v>
      </c>
      <c r="AU18" s="52">
        <f t="shared" ref="AU18" si="132">AU17/AT17-1</f>
        <v>9.0317773850365546E-2</v>
      </c>
      <c r="AV18" s="52">
        <f t="shared" ref="AV18" si="133">AV17/AU17-1</f>
        <v>9.0521337558361559E-2</v>
      </c>
      <c r="AW18" s="52">
        <f t="shared" ref="AW18" si="134">AW17/AV17-1</f>
        <v>9.0713290626438958E-2</v>
      </c>
      <c r="AX18" s="52">
        <f t="shared" ref="AX18" si="135">AX17/AW17-1</f>
        <v>9.0928524285282863E-2</v>
      </c>
      <c r="AY18" s="52">
        <f t="shared" ref="AY18" si="136">AY17/AX17-1</f>
        <v>9.1101923246494909E-2</v>
      </c>
      <c r="AZ18" s="52">
        <f t="shared" ref="AZ18" si="137">AZ17/AY17-1</f>
        <v>9.1240105777821601E-2</v>
      </c>
      <c r="BA18" s="52">
        <f t="shared" ref="BA18" si="138">BA17/AZ17-1</f>
        <v>9.1416275462553376E-2</v>
      </c>
      <c r="BB18" s="52">
        <f t="shared" ref="BB18" si="139">BB17/BA17-1</f>
        <v>9.1602204529690257E-2</v>
      </c>
      <c r="BC18" s="52">
        <f t="shared" ref="BC18" si="140">BC17/BB17-1</f>
        <v>9.1776987721512659E-2</v>
      </c>
      <c r="BD18" s="52">
        <f t="shared" ref="BD18" si="141">BD17/BC17-1</f>
        <v>9.1958658537549809E-2</v>
      </c>
      <c r="BE18" s="52">
        <f t="shared" ref="BE18" si="142">BE17/BD17-1</f>
        <v>9.2083309194137097E-2</v>
      </c>
      <c r="BF18" s="52">
        <f t="shared" ref="BF18" si="143">BF17/BE17-1</f>
        <v>9.2261723194936973E-2</v>
      </c>
      <c r="BG18" s="52">
        <f t="shared" ref="BG18" si="144">BG17/BF17-1</f>
        <v>9.2420333056090209E-2</v>
      </c>
      <c r="BH18" s="52">
        <f t="shared" ref="BH18" si="145">BH17/BG17-1</f>
        <v>9.2580757384953527E-2</v>
      </c>
      <c r="BI18" s="52">
        <f t="shared" ref="BI18" si="146">BI17/BH17-1</f>
        <v>9.2727742534048918E-2</v>
      </c>
      <c r="BJ18" s="52">
        <f t="shared" ref="BJ18" si="147">BJ17/BI17-1</f>
        <v>9.2892313621878664E-2</v>
      </c>
      <c r="BK18" s="52">
        <f t="shared" ref="BK18" si="148">BK17/BJ17-1</f>
        <v>9.3036449455545345E-2</v>
      </c>
      <c r="BL18" s="52">
        <f t="shared" ref="BL18" si="149">BL17/BK17-1</f>
        <v>9.3168737749825592E-2</v>
      </c>
      <c r="BM18" s="52">
        <f t="shared" ref="BM18" si="150">BM17/BL17-1</f>
        <v>9.3305453648479197E-2</v>
      </c>
      <c r="BN18" s="52">
        <f t="shared" ref="BN18" si="151">BN17/BM17-1</f>
        <v>9.3451697441204296E-2</v>
      </c>
    </row>
    <row r="19" spans="1:66" ht="3" customHeight="1" x14ac:dyDescent="0.3">
      <c r="C19" s="25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</row>
    <row r="20" spans="1:66" ht="14.4" customHeight="1" x14ac:dyDescent="0.3">
      <c r="C20" t="s">
        <v>30</v>
      </c>
      <c r="G20" s="50">
        <f>'Subscribers &amp; Revenue'!G64</f>
        <v>20850</v>
      </c>
      <c r="H20" s="50">
        <f>'Subscribers &amp; Revenue'!H64</f>
        <v>24720</v>
      </c>
      <c r="I20" s="50">
        <f>'Subscribers &amp; Revenue'!I64</f>
        <v>28530</v>
      </c>
      <c r="J20" s="50">
        <f>'Subscribers &amp; Revenue'!J64</f>
        <v>32280</v>
      </c>
      <c r="K20" s="50">
        <f>'Subscribers &amp; Revenue'!K64</f>
        <v>36360</v>
      </c>
      <c r="L20" s="50">
        <f>'Subscribers &amp; Revenue'!L64</f>
        <v>40470</v>
      </c>
      <c r="M20" s="50">
        <f>'Subscribers &amp; Revenue'!M64</f>
        <v>44670</v>
      </c>
      <c r="N20" s="50">
        <f>'Subscribers &amp; Revenue'!N64</f>
        <v>49290</v>
      </c>
      <c r="O20" s="50">
        <f>'Subscribers &amp; Revenue'!O64</f>
        <v>54060</v>
      </c>
      <c r="P20" s="50">
        <f>'Subscribers &amp; Revenue'!P64</f>
        <v>59310</v>
      </c>
      <c r="Q20" s="50">
        <f>'Subscribers &amp; Revenue'!Q64</f>
        <v>64740</v>
      </c>
      <c r="R20" s="50">
        <f>'Subscribers &amp; Revenue'!R64</f>
        <v>70710</v>
      </c>
      <c r="S20" s="50">
        <f>'Subscribers &amp; Revenue'!S64</f>
        <v>88860</v>
      </c>
      <c r="T20" s="50">
        <f>'Subscribers &amp; Revenue'!T64</f>
        <v>96420</v>
      </c>
      <c r="U20" s="50">
        <f>'Subscribers &amp; Revenue'!U64</f>
        <v>104640</v>
      </c>
      <c r="V20" s="50">
        <f>'Subscribers &amp; Revenue'!V64</f>
        <v>113580</v>
      </c>
      <c r="W20" s="50">
        <f>'Subscribers &amp; Revenue'!W64</f>
        <v>123270</v>
      </c>
      <c r="X20" s="50">
        <f>'Subscribers &amp; Revenue'!X64</f>
        <v>133440</v>
      </c>
      <c r="Y20" s="50">
        <f>'Subscribers &amp; Revenue'!Y64</f>
        <v>144480</v>
      </c>
      <c r="Z20" s="50">
        <f>'Subscribers &amp; Revenue'!Z64</f>
        <v>156780</v>
      </c>
      <c r="AA20" s="50">
        <f>'Subscribers &amp; Revenue'!AA64</f>
        <v>170040</v>
      </c>
      <c r="AB20" s="50">
        <f>'Subscribers &amp; Revenue'!AB64</f>
        <v>184710</v>
      </c>
      <c r="AC20" s="50">
        <f>'Subscribers &amp; Revenue'!AC64</f>
        <v>200190</v>
      </c>
      <c r="AD20" s="50">
        <f>'Subscribers &amp; Revenue'!AD64</f>
        <v>217170</v>
      </c>
      <c r="AE20" s="50">
        <f>'Subscribers &amp; Revenue'!AE64</f>
        <v>235800</v>
      </c>
      <c r="AF20" s="50">
        <f>'Subscribers &amp; Revenue'!AF64</f>
        <v>255810</v>
      </c>
      <c r="AG20" s="50">
        <f>'Subscribers &amp; Revenue'!AG64</f>
        <v>277650</v>
      </c>
      <c r="AH20" s="50">
        <f>'Subscribers &amp; Revenue'!AH64</f>
        <v>301470</v>
      </c>
      <c r="AI20" s="50">
        <f>'Subscribers &amp; Revenue'!AI64</f>
        <v>327330</v>
      </c>
      <c r="AJ20" s="50">
        <f>'Subscribers &amp; Revenue'!AJ64</f>
        <v>355410</v>
      </c>
      <c r="AK20" s="50">
        <f>'Subscribers &amp; Revenue'!AK64</f>
        <v>385860</v>
      </c>
      <c r="AL20" s="50">
        <f>'Subscribers &amp; Revenue'!AL64</f>
        <v>418860</v>
      </c>
      <c r="AM20" s="50">
        <f>'Subscribers &amp; Revenue'!AM64</f>
        <v>454920</v>
      </c>
      <c r="AN20" s="50">
        <f>'Subscribers &amp; Revenue'!AN64</f>
        <v>494550</v>
      </c>
      <c r="AO20" s="50">
        <f>'Subscribers &amp; Revenue'!AO64</f>
        <v>537690</v>
      </c>
      <c r="AP20" s="50">
        <f>'Subscribers &amp; Revenue'!AP64</f>
        <v>584250</v>
      </c>
      <c r="AQ20" s="50">
        <f>'Subscribers &amp; Revenue'!AQ64</f>
        <v>634830</v>
      </c>
      <c r="AR20" s="50">
        <f>'Subscribers &amp; Revenue'!AR64</f>
        <v>690420</v>
      </c>
      <c r="AS20" s="50">
        <f>'Subscribers &amp; Revenue'!AS64</f>
        <v>751020</v>
      </c>
      <c r="AT20" s="50">
        <f>'Subscribers &amp; Revenue'!AT64</f>
        <v>816630</v>
      </c>
      <c r="AU20" s="50">
        <f>'Subscribers &amp; Revenue'!AU64</f>
        <v>888690</v>
      </c>
      <c r="AV20" s="50">
        <f>'Subscribers &amp; Revenue'!AV64</f>
        <v>967290</v>
      </c>
      <c r="AW20" s="50">
        <f>'Subscribers &amp; Revenue'!AW64</f>
        <v>1052610</v>
      </c>
      <c r="AX20" s="50">
        <f>'Subscribers &amp; Revenue'!AX64</f>
        <v>1145850</v>
      </c>
      <c r="AY20" s="50">
        <f>'Subscribers &amp; Revenue'!AY64</f>
        <v>1247580</v>
      </c>
      <c r="AZ20" s="50">
        <f>'Subscribers &amp; Revenue'!AZ64</f>
        <v>1358760</v>
      </c>
      <c r="BA20" s="50">
        <f>'Subscribers &amp; Revenue'!BA64</f>
        <v>1480140</v>
      </c>
      <c r="BB20" s="50">
        <f>'Subscribers &amp; Revenue'!BB64</f>
        <v>1612500</v>
      </c>
      <c r="BC20" s="50">
        <f>'Subscribers &amp; Revenue'!BC64</f>
        <v>1756710</v>
      </c>
      <c r="BD20" s="50">
        <f>'Subscribers &amp; Revenue'!BD64</f>
        <v>1914420</v>
      </c>
      <c r="BE20" s="50">
        <f>'Subscribers &amp; Revenue'!BE64</f>
        <v>2086290</v>
      </c>
      <c r="BF20" s="50">
        <f>'Subscribers &amp; Revenue'!BF64</f>
        <v>2274480</v>
      </c>
      <c r="BG20" s="50">
        <f>'Subscribers &amp; Revenue'!BG64</f>
        <v>2479950</v>
      </c>
      <c r="BH20" s="50">
        <f>'Subscribers &amp; Revenue'!BH64</f>
        <v>2704440</v>
      </c>
      <c r="BI20" s="50">
        <f>'Subscribers &amp; Revenue'!BI64</f>
        <v>2949450</v>
      </c>
      <c r="BJ20" s="50">
        <f>'Subscribers &amp; Revenue'!BJ64</f>
        <v>3217380</v>
      </c>
      <c r="BK20" s="50">
        <f>'Subscribers &amp; Revenue'!BK64</f>
        <v>3510060</v>
      </c>
      <c r="BL20" s="50">
        <f>'Subscribers &amp; Revenue'!BL64</f>
        <v>3829860</v>
      </c>
      <c r="BM20" s="50">
        <f>'Subscribers &amp; Revenue'!BM64</f>
        <v>4179690</v>
      </c>
      <c r="BN20" s="50">
        <f>'Subscribers &amp; Revenue'!BN64</f>
        <v>4562370</v>
      </c>
    </row>
    <row r="21" spans="1:66" ht="14.4" customHeight="1" x14ac:dyDescent="0.3">
      <c r="C21" s="25" t="s">
        <v>19</v>
      </c>
      <c r="H21" s="52">
        <f>H20/G20-1</f>
        <v>0.18561151079136695</v>
      </c>
      <c r="I21" s="52">
        <f t="shared" ref="I21:AD21" si="152">I20/H20-1</f>
        <v>0.154126213592233</v>
      </c>
      <c r="J21" s="52">
        <f t="shared" si="152"/>
        <v>0.13144058885383814</v>
      </c>
      <c r="K21" s="52">
        <f t="shared" si="152"/>
        <v>0.12639405204460963</v>
      </c>
      <c r="L21" s="52">
        <f t="shared" si="152"/>
        <v>0.11303630363036299</v>
      </c>
      <c r="M21" s="52">
        <f t="shared" si="152"/>
        <v>0.10378057820607856</v>
      </c>
      <c r="N21" s="52">
        <f t="shared" si="152"/>
        <v>0.10342511752854255</v>
      </c>
      <c r="O21" s="52">
        <f t="shared" si="152"/>
        <v>9.6774193548387011E-2</v>
      </c>
      <c r="P21" s="52">
        <f t="shared" si="152"/>
        <v>9.7114317425083252E-2</v>
      </c>
      <c r="Q21" s="52">
        <f t="shared" si="152"/>
        <v>9.1552857865452753E-2</v>
      </c>
      <c r="R21" s="52">
        <f t="shared" si="152"/>
        <v>9.2215013901760789E-2</v>
      </c>
      <c r="S21" s="52">
        <f t="shared" si="152"/>
        <v>0.2566822231650403</v>
      </c>
      <c r="T21" s="52">
        <f t="shared" si="152"/>
        <v>8.5077650236326852E-2</v>
      </c>
      <c r="U21" s="52">
        <f t="shared" si="152"/>
        <v>8.5252022401991256E-2</v>
      </c>
      <c r="V21" s="52">
        <f t="shared" si="152"/>
        <v>8.5435779816513735E-2</v>
      </c>
      <c r="W21" s="52">
        <f t="shared" si="152"/>
        <v>8.5314315900686832E-2</v>
      </c>
      <c r="X21" s="52">
        <f t="shared" si="152"/>
        <v>8.2501825261620754E-2</v>
      </c>
      <c r="Y21" s="52">
        <f t="shared" si="152"/>
        <v>8.2733812949640217E-2</v>
      </c>
      <c r="Z21" s="52">
        <f t="shared" si="152"/>
        <v>8.5132890365448466E-2</v>
      </c>
      <c r="AA21" s="52">
        <f t="shared" si="152"/>
        <v>8.4577114427860645E-2</v>
      </c>
      <c r="AB21" s="52">
        <f t="shared" si="152"/>
        <v>8.6273817925194063E-2</v>
      </c>
      <c r="AC21" s="52">
        <f t="shared" si="152"/>
        <v>8.3807048887445168E-2</v>
      </c>
      <c r="AD21" s="52">
        <f t="shared" si="152"/>
        <v>8.4819421549527929E-2</v>
      </c>
      <c r="AE21" s="52">
        <f t="shared" ref="AE21" si="153">AE20/AD20-1</f>
        <v>8.5785329465395854E-2</v>
      </c>
      <c r="AF21" s="52">
        <f t="shared" ref="AF21" si="154">AF20/AE20-1</f>
        <v>8.4860050890585237E-2</v>
      </c>
      <c r="AG21" s="52">
        <f t="shared" ref="AG21" si="155">AG20/AF20-1</f>
        <v>8.5375864899730258E-2</v>
      </c>
      <c r="AH21" s="52">
        <f t="shared" ref="AH21" si="156">AH20/AG20-1</f>
        <v>8.5791464073473822E-2</v>
      </c>
      <c r="AI21" s="52">
        <f t="shared" ref="AI21" si="157">AI20/AH20-1</f>
        <v>8.577967957010646E-2</v>
      </c>
      <c r="AJ21" s="52">
        <f t="shared" ref="AJ21" si="158">AJ20/AI20-1</f>
        <v>8.5784987627165243E-2</v>
      </c>
      <c r="AK21" s="52">
        <f t="shared" ref="AK21" si="159">AK20/AJ20-1</f>
        <v>8.5675698489068974E-2</v>
      </c>
      <c r="AL21" s="52">
        <f t="shared" ref="AL21" si="160">AL20/AK20-1</f>
        <v>8.5523246773441253E-2</v>
      </c>
      <c r="AM21" s="52">
        <f t="shared" ref="AM21" si="161">AM20/AL20-1</f>
        <v>8.6090817934393327E-2</v>
      </c>
      <c r="AN21" s="52">
        <f t="shared" ref="AN21" si="162">AN20/AM20-1</f>
        <v>8.7114217884463274E-2</v>
      </c>
      <c r="AO21" s="52">
        <f t="shared" ref="AO21" si="163">AO20/AN20-1</f>
        <v>8.7230815893236224E-2</v>
      </c>
      <c r="AP21" s="52">
        <f t="shared" ref="AP21" si="164">AP20/AO20-1</f>
        <v>8.6592646320370559E-2</v>
      </c>
      <c r="AQ21" s="52">
        <f t="shared" ref="AQ21" si="165">AQ20/AP20-1</f>
        <v>8.6572528883183564E-2</v>
      </c>
      <c r="AR21" s="52">
        <f t="shared" ref="AR21" si="166">AR20/AQ20-1</f>
        <v>8.7566750153584394E-2</v>
      </c>
      <c r="AS21" s="52">
        <f t="shared" ref="AS21" si="167">AS20/AR20-1</f>
        <v>8.7772660119926904E-2</v>
      </c>
      <c r="AT21" s="52">
        <f t="shared" ref="AT21" si="168">AT20/AS20-1</f>
        <v>8.7361188783254828E-2</v>
      </c>
      <c r="AU21" s="52">
        <f t="shared" ref="AU21" si="169">AU20/AT20-1</f>
        <v>8.8240696521068251E-2</v>
      </c>
      <c r="AV21" s="52">
        <f t="shared" ref="AV21" si="170">AV20/AU20-1</f>
        <v>8.8444789521655576E-2</v>
      </c>
      <c r="AW21" s="52">
        <f t="shared" ref="AW21" si="171">AW20/AV20-1</f>
        <v>8.8205191824582085E-2</v>
      </c>
      <c r="AX21" s="52">
        <f t="shared" ref="AX21" si="172">AX20/AW20-1</f>
        <v>8.8579815886225655E-2</v>
      </c>
      <c r="AY21" s="52">
        <f t="shared" ref="AY21" si="173">AY20/AX20-1</f>
        <v>8.8781254090849693E-2</v>
      </c>
      <c r="AZ21" s="52">
        <f t="shared" ref="AZ21" si="174">AZ20/AY20-1</f>
        <v>8.9116529601308114E-2</v>
      </c>
      <c r="BA21" s="52">
        <f t="shared" ref="BA21" si="175">BA20/AZ20-1</f>
        <v>8.9331449262562979E-2</v>
      </c>
      <c r="BB21" s="52">
        <f t="shared" ref="BB21" si="176">BB20/BA20-1</f>
        <v>8.9423973407920965E-2</v>
      </c>
      <c r="BC21" s="52">
        <f t="shared" ref="BC21" si="177">BC20/BB20-1</f>
        <v>8.943255813953499E-2</v>
      </c>
      <c r="BD21" s="52">
        <f t="shared" ref="BD21" si="178">BD20/BC20-1</f>
        <v>8.9775774032139655E-2</v>
      </c>
      <c r="BE21" s="52">
        <f t="shared" ref="BE21" si="179">BE20/BD20-1</f>
        <v>8.9776538063747857E-2</v>
      </c>
      <c r="BF21" s="52">
        <f t="shared" ref="BF21" si="180">BF20/BE20-1</f>
        <v>9.0203183641775597E-2</v>
      </c>
      <c r="BG21" s="52">
        <f t="shared" ref="BG21" si="181">BG20/BF20-1</f>
        <v>9.033713200379867E-2</v>
      </c>
      <c r="BH21" s="52">
        <f t="shared" ref="BH21" si="182">BH20/BG20-1</f>
        <v>9.0521986330369675E-2</v>
      </c>
      <c r="BI21" s="52">
        <f t="shared" ref="BI21" si="183">BI20/BH20-1</f>
        <v>9.0595465234946992E-2</v>
      </c>
      <c r="BJ21" s="52">
        <f t="shared" ref="BJ21" si="184">BJ20/BI20-1</f>
        <v>9.0840665208767657E-2</v>
      </c>
      <c r="BK21" s="52">
        <f t="shared" ref="BK21" si="185">BK20/BJ20-1</f>
        <v>9.0968427726908274E-2</v>
      </c>
      <c r="BL21" s="52">
        <f t="shared" ref="BL21" si="186">BL20/BK20-1</f>
        <v>9.1109553682843014E-2</v>
      </c>
      <c r="BM21" s="52">
        <f t="shared" ref="BM21" si="187">BM20/BL20-1</f>
        <v>9.1342764487474692E-2</v>
      </c>
      <c r="BN21" s="52">
        <f t="shared" ref="BN21" si="188">BN20/BM20-1</f>
        <v>9.1557029349066621E-2</v>
      </c>
    </row>
    <row r="22" spans="1:66" ht="3" customHeight="1" x14ac:dyDescent="0.3">
      <c r="C22" s="25"/>
      <c r="H22" s="80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</row>
    <row r="23" spans="1:66" ht="14.4" customHeight="1" x14ac:dyDescent="0.3">
      <c r="C23" t="s">
        <v>143</v>
      </c>
      <c r="G23" s="50">
        <f>'Subscribers &amp; Revenue'!G76</f>
        <v>-16637.5</v>
      </c>
      <c r="H23" s="50">
        <f>'Subscribers &amp; Revenue'!H76</f>
        <v>-16335</v>
      </c>
      <c r="I23" s="50">
        <f>'Subscribers &amp; Revenue'!I76</f>
        <v>-15922.5</v>
      </c>
      <c r="J23" s="50">
        <f>'Subscribers &amp; Revenue'!J76</f>
        <v>-15400</v>
      </c>
      <c r="K23" s="50">
        <f>'Subscribers &amp; Revenue'!K76</f>
        <v>-15070</v>
      </c>
      <c r="L23" s="50">
        <f>'Subscribers &amp; Revenue'!L76</f>
        <v>-14602.5</v>
      </c>
      <c r="M23" s="50">
        <f>'Subscribers &amp; Revenue'!M76</f>
        <v>-13997.5</v>
      </c>
      <c r="N23" s="50">
        <f>'Subscribers &amp; Revenue'!N76</f>
        <v>-13557.5</v>
      </c>
      <c r="O23" s="50">
        <f>'Subscribers &amp; Revenue'!O76</f>
        <v>-12952.5</v>
      </c>
      <c r="P23" s="50">
        <f>'Subscribers &amp; Revenue'!P76</f>
        <v>-12485</v>
      </c>
      <c r="Q23" s="50">
        <f>'Subscribers &amp; Revenue'!Q76</f>
        <v>-11825</v>
      </c>
      <c r="R23" s="50">
        <f>'Subscribers &amp; Revenue'!R76</f>
        <v>-11275</v>
      </c>
      <c r="S23" s="50">
        <f>'Subscribers &amp; Revenue'!S76</f>
        <v>-22907.5</v>
      </c>
      <c r="T23" s="50">
        <f>'Subscribers &amp; Revenue'!T76</f>
        <v>-23457.5</v>
      </c>
      <c r="U23" s="50">
        <f>'Subscribers &amp; Revenue'!U76</f>
        <v>-24117.5</v>
      </c>
      <c r="V23" s="50">
        <f>'Subscribers &amp; Revenue'!V76</f>
        <v>-24860</v>
      </c>
      <c r="W23" s="50">
        <f>'Subscribers &amp; Revenue'!W76</f>
        <v>-25685</v>
      </c>
      <c r="X23" s="50">
        <f>'Subscribers &amp; Revenue'!X76</f>
        <v>-26262.5</v>
      </c>
      <c r="Y23" s="50">
        <f>'Subscribers &amp; Revenue'!Y76</f>
        <v>-26895</v>
      </c>
      <c r="Z23" s="50">
        <f>'Subscribers &amp; Revenue'!Z76</f>
        <v>-27885</v>
      </c>
      <c r="AA23" s="50">
        <f>'Subscribers &amp; Revenue'!AA76</f>
        <v>-28875</v>
      </c>
      <c r="AB23" s="50">
        <f>'Subscribers &amp; Revenue'!AB76</f>
        <v>-30167.5</v>
      </c>
      <c r="AC23" s="50">
        <f>'Subscribers &amp; Revenue'!AC76</f>
        <v>-31102.5</v>
      </c>
      <c r="AD23" s="50">
        <f>'Subscribers &amp; Revenue'!AD76</f>
        <v>-32312.5</v>
      </c>
      <c r="AE23" s="50">
        <f>'Subscribers &amp; Revenue'!AE76</f>
        <v>-34732.5</v>
      </c>
      <c r="AF23" s="50">
        <f>'Subscribers &amp; Revenue'!AF76</f>
        <v>-37097.5</v>
      </c>
      <c r="AG23" s="50">
        <f>'Subscribers &amp; Revenue'!AG76</f>
        <v>-39710</v>
      </c>
      <c r="AH23" s="50">
        <f>'Subscribers &amp; Revenue'!AH76</f>
        <v>-42542.5</v>
      </c>
      <c r="AI23" s="50">
        <f>'Subscribers &amp; Revenue'!AI76</f>
        <v>-45567.5</v>
      </c>
      <c r="AJ23" s="50">
        <f>'Subscribers &amp; Revenue'!AJ76</f>
        <v>-48730</v>
      </c>
      <c r="AK23" s="50">
        <f>'Subscribers &amp; Revenue'!AK76</f>
        <v>-52002.5</v>
      </c>
      <c r="AL23" s="50">
        <f>'Subscribers &amp; Revenue'!AL76</f>
        <v>-55385</v>
      </c>
      <c r="AM23" s="50">
        <f>'Subscribers &amp; Revenue'!AM76</f>
        <v>-59152.5</v>
      </c>
      <c r="AN23" s="50">
        <f>'Subscribers &amp; Revenue'!AN76</f>
        <v>-63580</v>
      </c>
      <c r="AO23" s="50">
        <f>'Subscribers &amp; Revenue'!AO76</f>
        <v>-68255</v>
      </c>
      <c r="AP23" s="50">
        <f>'Subscribers &amp; Revenue'!AP76</f>
        <v>-72847.5</v>
      </c>
      <c r="AQ23" s="50">
        <f>'Subscribers &amp; Revenue'!AQ76</f>
        <v>-77660</v>
      </c>
      <c r="AR23" s="50">
        <f>'Subscribers &amp; Revenue'!AR76</f>
        <v>-83242.5</v>
      </c>
      <c r="AS23" s="50">
        <f>'Subscribers &amp; Revenue'!AS76</f>
        <v>-89210</v>
      </c>
      <c r="AT23" s="50">
        <f>'Subscribers &amp; Revenue'!AT76</f>
        <v>-95205</v>
      </c>
      <c r="AU23" s="50">
        <f>'Subscribers &amp; Revenue'!AU76</f>
        <v>-102107.5</v>
      </c>
      <c r="AV23" s="50">
        <f>'Subscribers &amp; Revenue'!AV76</f>
        <v>-109505</v>
      </c>
      <c r="AW23" s="50">
        <f>'Subscribers &amp; Revenue'!AW76</f>
        <v>-117012.5</v>
      </c>
      <c r="AX23" s="50">
        <f>'Subscribers &amp; Revenue'!AX76</f>
        <v>-125180</v>
      </c>
      <c r="AY23" s="50">
        <f>'Subscribers &amp; Revenue'!AY76</f>
        <v>-133925</v>
      </c>
      <c r="AZ23" s="50">
        <f>'Subscribers &amp; Revenue'!AZ76</f>
        <v>-143495</v>
      </c>
      <c r="BA23" s="50">
        <f>'Subscribers &amp; Revenue'!BA76</f>
        <v>-153780</v>
      </c>
      <c r="BB23" s="50">
        <f>'Subscribers &amp; Revenue'!BB76</f>
        <v>-164642.5</v>
      </c>
      <c r="BC23" s="50">
        <f>'Subscribers &amp; Revenue'!BC76</f>
        <v>-175972.5</v>
      </c>
      <c r="BD23" s="50">
        <f>'Subscribers &amp; Revenue'!BD76</f>
        <v>-188320</v>
      </c>
      <c r="BE23" s="50">
        <f>'Subscribers &amp; Revenue'!BE76</f>
        <v>-201245</v>
      </c>
      <c r="BF23" s="50">
        <f>'Subscribers &amp; Revenue'!BF76</f>
        <v>-215517.5</v>
      </c>
      <c r="BG23" s="50">
        <f>'Subscribers &amp; Revenue'!BG76</f>
        <v>-230697.5</v>
      </c>
      <c r="BH23" s="50">
        <f>'Subscribers &amp; Revenue'!BH76</f>
        <v>-246950</v>
      </c>
      <c r="BI23" s="50">
        <f>'Subscribers &amp; Revenue'!BI76</f>
        <v>-264082.5</v>
      </c>
      <c r="BJ23" s="50">
        <f>'Subscribers &amp; Revenue'!BJ76</f>
        <v>-282562.5</v>
      </c>
      <c r="BK23" s="50">
        <f>'Subscribers &amp; Revenue'!BK76</f>
        <v>-302197.5</v>
      </c>
      <c r="BL23" s="50">
        <f>'Subscribers &amp; Revenue'!BL76</f>
        <v>-323125</v>
      </c>
      <c r="BM23" s="50">
        <f>'Subscribers &amp; Revenue'!BM76</f>
        <v>-345757.5</v>
      </c>
      <c r="BN23" s="50">
        <f>'Subscribers &amp; Revenue'!BN76</f>
        <v>-370150</v>
      </c>
    </row>
    <row r="24" spans="1:66" ht="14.4" customHeight="1" x14ac:dyDescent="0.3"/>
    <row r="25" spans="1:66" ht="14.4" customHeight="1" x14ac:dyDescent="0.3">
      <c r="A25" s="22" t="s">
        <v>0</v>
      </c>
      <c r="B25" s="22" t="s">
        <v>0</v>
      </c>
      <c r="C25" s="53" t="s">
        <v>50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</row>
    <row r="26" spans="1:66" ht="14.4" customHeight="1" x14ac:dyDescent="0.3"/>
    <row r="27" spans="1:66" ht="14.4" customHeight="1" x14ac:dyDescent="0.3">
      <c r="A27" s="22"/>
      <c r="B27" s="22" t="s">
        <v>0</v>
      </c>
      <c r="C27" s="4" t="s">
        <v>41</v>
      </c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</row>
    <row r="28" spans="1:66" ht="3" customHeight="1" x14ac:dyDescent="0.3">
      <c r="B28" s="1"/>
      <c r="C28" s="4"/>
    </row>
    <row r="29" spans="1:66" ht="14.4" customHeight="1" x14ac:dyDescent="0.3">
      <c r="B29" s="16"/>
      <c r="C29" t="s">
        <v>49</v>
      </c>
      <c r="G29" s="50">
        <f>'Subscribers &amp; Revenue'!G70</f>
        <v>4212.5</v>
      </c>
      <c r="H29" s="50">
        <f>'Subscribers &amp; Revenue'!H70</f>
        <v>8385</v>
      </c>
      <c r="I29" s="50">
        <f>'Subscribers &amp; Revenue'!I70</f>
        <v>12607.5</v>
      </c>
      <c r="J29" s="50">
        <f>'Subscribers &amp; Revenue'!J70</f>
        <v>16880</v>
      </c>
      <c r="K29" s="50">
        <f>'Subscribers &amp; Revenue'!K70</f>
        <v>21290</v>
      </c>
      <c r="L29" s="50">
        <f>'Subscribers &amp; Revenue'!L70</f>
        <v>25867.5</v>
      </c>
      <c r="M29" s="50">
        <f>'Subscribers &amp; Revenue'!M70</f>
        <v>30672.5</v>
      </c>
      <c r="N29" s="50">
        <f>'Subscribers &amp; Revenue'!N70</f>
        <v>35732.5</v>
      </c>
      <c r="O29" s="50">
        <f>'Subscribers &amp; Revenue'!O70</f>
        <v>41107.5</v>
      </c>
      <c r="P29" s="50">
        <f>'Subscribers &amp; Revenue'!P70</f>
        <v>46825</v>
      </c>
      <c r="Q29" s="50">
        <f>'Subscribers &amp; Revenue'!Q70</f>
        <v>52915</v>
      </c>
      <c r="R29" s="50">
        <f>'Subscribers &amp; Revenue'!R70</f>
        <v>59435</v>
      </c>
      <c r="S29" s="50">
        <f>'Subscribers &amp; Revenue'!S70</f>
        <v>65952.5</v>
      </c>
      <c r="T29" s="50">
        <f>'Subscribers &amp; Revenue'!T70</f>
        <v>72962.5</v>
      </c>
      <c r="U29" s="50">
        <f>'Subscribers &amp; Revenue'!U70</f>
        <v>80522.5</v>
      </c>
      <c r="V29" s="50">
        <f>'Subscribers &amp; Revenue'!V70</f>
        <v>88720</v>
      </c>
      <c r="W29" s="50">
        <f>'Subscribers &amp; Revenue'!W70</f>
        <v>97585</v>
      </c>
      <c r="X29" s="50">
        <f>'Subscribers &amp; Revenue'!X70</f>
        <v>107177.5</v>
      </c>
      <c r="Y29" s="50">
        <f>'Subscribers &amp; Revenue'!Y70</f>
        <v>117585</v>
      </c>
      <c r="Z29" s="50">
        <f>'Subscribers &amp; Revenue'!Z70</f>
        <v>128895</v>
      </c>
      <c r="AA29" s="50">
        <f>'Subscribers &amp; Revenue'!AA70</f>
        <v>141165</v>
      </c>
      <c r="AB29" s="50">
        <f>'Subscribers &amp; Revenue'!AB70</f>
        <v>154542.5</v>
      </c>
      <c r="AC29" s="50">
        <f>'Subscribers &amp; Revenue'!AC70</f>
        <v>169087.5</v>
      </c>
      <c r="AD29" s="50">
        <f>'Subscribers &amp; Revenue'!AD70</f>
        <v>184857.5</v>
      </c>
      <c r="AE29" s="50">
        <f>'Subscribers &amp; Revenue'!AE70</f>
        <v>201067.5</v>
      </c>
      <c r="AF29" s="50">
        <f>'Subscribers &amp; Revenue'!AF70</f>
        <v>218712.5</v>
      </c>
      <c r="AG29" s="50">
        <f>'Subscribers &amp; Revenue'!AG70</f>
        <v>237940</v>
      </c>
      <c r="AH29" s="50">
        <f>'Subscribers &amp; Revenue'!AH70</f>
        <v>258927.5</v>
      </c>
      <c r="AI29" s="50">
        <f>'Subscribers &amp; Revenue'!AI70</f>
        <v>281762.5</v>
      </c>
      <c r="AJ29" s="50">
        <f>'Subscribers &amp; Revenue'!AJ70</f>
        <v>306680</v>
      </c>
      <c r="AK29" s="50">
        <f>'Subscribers &amp; Revenue'!AK70</f>
        <v>333857.5</v>
      </c>
      <c r="AL29" s="50">
        <f>'Subscribers &amp; Revenue'!AL70</f>
        <v>363475</v>
      </c>
      <c r="AM29" s="50">
        <f>'Subscribers &amp; Revenue'!AM70</f>
        <v>395767.5</v>
      </c>
      <c r="AN29" s="50">
        <f>'Subscribers &amp; Revenue'!AN70</f>
        <v>430970</v>
      </c>
      <c r="AO29" s="50">
        <f>'Subscribers &amp; Revenue'!AO70</f>
        <v>469435</v>
      </c>
      <c r="AP29" s="50">
        <f>'Subscribers &amp; Revenue'!AP70</f>
        <v>511402.5</v>
      </c>
      <c r="AQ29" s="50">
        <f>'Subscribers &amp; Revenue'!AQ70</f>
        <v>557170</v>
      </c>
      <c r="AR29" s="50">
        <f>'Subscribers &amp; Revenue'!AR70</f>
        <v>607177.5</v>
      </c>
      <c r="AS29" s="50">
        <f>'Subscribers &amp; Revenue'!AS70</f>
        <v>661810</v>
      </c>
      <c r="AT29" s="50">
        <f>'Subscribers &amp; Revenue'!AT70</f>
        <v>721425</v>
      </c>
      <c r="AU29" s="50">
        <f>'Subscribers &amp; Revenue'!AU70</f>
        <v>786582.5</v>
      </c>
      <c r="AV29" s="50">
        <f>'Subscribers &amp; Revenue'!AV70</f>
        <v>857785</v>
      </c>
      <c r="AW29" s="50">
        <f>'Subscribers &amp; Revenue'!AW70</f>
        <v>935597.5</v>
      </c>
      <c r="AX29" s="50">
        <f>'Subscribers &amp; Revenue'!AX70</f>
        <v>1020670</v>
      </c>
      <c r="AY29" s="50">
        <f>'Subscribers &amp; Revenue'!AY70</f>
        <v>1113655</v>
      </c>
      <c r="AZ29" s="50">
        <f>'Subscribers &amp; Revenue'!AZ70</f>
        <v>1215265</v>
      </c>
      <c r="BA29" s="50">
        <f>'Subscribers &amp; Revenue'!BA70</f>
        <v>1326360</v>
      </c>
      <c r="BB29" s="50">
        <f>'Subscribers &amp; Revenue'!BB70</f>
        <v>1447857.5</v>
      </c>
      <c r="BC29" s="50">
        <f>'Subscribers &amp; Revenue'!BC70</f>
        <v>1580737.5</v>
      </c>
      <c r="BD29" s="50">
        <f>'Subscribers &amp; Revenue'!BD70</f>
        <v>1726100</v>
      </c>
      <c r="BE29" s="50">
        <f>'Subscribers &amp; Revenue'!BE70</f>
        <v>1885045</v>
      </c>
      <c r="BF29" s="50">
        <f>'Subscribers &amp; Revenue'!BF70</f>
        <v>2058962.5</v>
      </c>
      <c r="BG29" s="50">
        <f>'Subscribers &amp; Revenue'!BG70</f>
        <v>2249252.5</v>
      </c>
      <c r="BH29" s="50">
        <f>'Subscribers &amp; Revenue'!BH70</f>
        <v>2457490</v>
      </c>
      <c r="BI29" s="50">
        <f>'Subscribers &amp; Revenue'!BI70</f>
        <v>2685367.5</v>
      </c>
      <c r="BJ29" s="50">
        <f>'Subscribers &amp; Revenue'!BJ70</f>
        <v>2934817.5</v>
      </c>
      <c r="BK29" s="50">
        <f>'Subscribers &amp; Revenue'!BK70</f>
        <v>3207862.5</v>
      </c>
      <c r="BL29" s="50">
        <f>'Subscribers &amp; Revenue'!BL70</f>
        <v>3506735</v>
      </c>
      <c r="BM29" s="50">
        <f>'Subscribers &amp; Revenue'!BM70</f>
        <v>3833932.5</v>
      </c>
      <c r="BN29" s="50">
        <f>'Subscribers &amp; Revenue'!BN70</f>
        <v>4192220</v>
      </c>
    </row>
    <row r="30" spans="1:66" x14ac:dyDescent="0.3">
      <c r="C30" s="25" t="s">
        <v>19</v>
      </c>
      <c r="H30" s="52">
        <f>H29/G29-1</f>
        <v>0.99050445103857565</v>
      </c>
      <c r="I30" s="52">
        <f t="shared" ref="I30:AD30" si="189">I29/H29-1</f>
        <v>0.50357781753130593</v>
      </c>
      <c r="J30" s="52">
        <f t="shared" si="189"/>
        <v>0.33888558397779089</v>
      </c>
      <c r="K30" s="52">
        <f t="shared" si="189"/>
        <v>0.26125592417061605</v>
      </c>
      <c r="L30" s="52">
        <f t="shared" si="189"/>
        <v>0.21500704556129646</v>
      </c>
      <c r="M30" s="52">
        <f t="shared" si="189"/>
        <v>0.18575432492509902</v>
      </c>
      <c r="N30" s="52">
        <f t="shared" si="189"/>
        <v>0.16496862009943758</v>
      </c>
      <c r="O30" s="52">
        <f t="shared" si="189"/>
        <v>0.15042328412509609</v>
      </c>
      <c r="P30" s="52">
        <f t="shared" si="189"/>
        <v>0.13908654138539189</v>
      </c>
      <c r="Q30" s="52">
        <f t="shared" si="189"/>
        <v>0.13005872931126539</v>
      </c>
      <c r="R30" s="52">
        <f t="shared" si="189"/>
        <v>0.12321647925918922</v>
      </c>
      <c r="S30" s="52">
        <f t="shared" si="189"/>
        <v>0.10965760915285605</v>
      </c>
      <c r="T30" s="52">
        <f t="shared" si="189"/>
        <v>0.10628861680755097</v>
      </c>
      <c r="U30" s="52">
        <f t="shared" si="189"/>
        <v>0.10361487065273267</v>
      </c>
      <c r="V30" s="52">
        <f t="shared" si="189"/>
        <v>0.10180384364618589</v>
      </c>
      <c r="W30" s="52">
        <f t="shared" si="189"/>
        <v>9.9921100090171411E-2</v>
      </c>
      <c r="X30" s="52">
        <f t="shared" si="189"/>
        <v>9.8298918891223108E-2</v>
      </c>
      <c r="Y30" s="52">
        <f t="shared" si="189"/>
        <v>9.7105269296260843E-2</v>
      </c>
      <c r="Z30" s="52">
        <f t="shared" si="189"/>
        <v>9.6185737976782759E-2</v>
      </c>
      <c r="AA30" s="52">
        <f t="shared" si="189"/>
        <v>9.519376236471544E-2</v>
      </c>
      <c r="AB30" s="52">
        <f t="shared" si="189"/>
        <v>9.47649913222115E-2</v>
      </c>
      <c r="AC30" s="52">
        <f t="shared" si="189"/>
        <v>9.4116505168481135E-2</v>
      </c>
      <c r="AD30" s="52">
        <f t="shared" si="189"/>
        <v>9.3265321209432983E-2</v>
      </c>
      <c r="AE30" s="52">
        <f t="shared" ref="AE30" si="190">AE29/AD29-1</f>
        <v>8.768916597920029E-2</v>
      </c>
      <c r="AF30" s="52">
        <f t="shared" ref="AF30" si="191">AF29/AE29-1</f>
        <v>8.775659915202616E-2</v>
      </c>
      <c r="AG30" s="52">
        <f t="shared" ref="AG30" si="192">AG29/AF29-1</f>
        <v>8.7912213522318039E-2</v>
      </c>
      <c r="AH30" s="52">
        <f t="shared" ref="AH30" si="193">AH29/AG29-1</f>
        <v>8.8205009666302514E-2</v>
      </c>
      <c r="AI30" s="52">
        <f t="shared" ref="AI30" si="194">AI29/AH29-1</f>
        <v>8.8190709754661034E-2</v>
      </c>
      <c r="AJ30" s="52">
        <f t="shared" ref="AJ30" si="195">AJ29/AI29-1</f>
        <v>8.8434408411339316E-2</v>
      </c>
      <c r="AK30" s="52">
        <f t="shared" ref="AK30" si="196">AK29/AJ29-1</f>
        <v>8.86184296334942E-2</v>
      </c>
      <c r="AL30" s="52">
        <f t="shared" ref="AL30" si="197">AL29/AK29-1</f>
        <v>8.8712998809372223E-2</v>
      </c>
      <c r="AM30" s="52">
        <f t="shared" ref="AM30" si="198">AM29/AL29-1</f>
        <v>8.8843799435999626E-2</v>
      </c>
      <c r="AN30" s="52">
        <f t="shared" ref="AN30" si="199">AN29/AM29-1</f>
        <v>8.8947424940147846E-2</v>
      </c>
      <c r="AO30" s="52">
        <f t="shared" ref="AO30" si="200">AO29/AN29-1</f>
        <v>8.9252152121957362E-2</v>
      </c>
      <c r="AP30" s="52">
        <f t="shared" ref="AP30" si="201">AP29/AO29-1</f>
        <v>8.9400023432424147E-2</v>
      </c>
      <c r="AQ30" s="52">
        <f t="shared" ref="AQ30" si="202">AQ29/AP29-1</f>
        <v>8.949408733825126E-2</v>
      </c>
      <c r="AR30" s="52">
        <f t="shared" ref="AR30" si="203">AR29/AQ29-1</f>
        <v>8.9752678715652401E-2</v>
      </c>
      <c r="AS30" s="52">
        <f t="shared" ref="AS30" si="204">AS29/AR29-1</f>
        <v>8.9977807148651001E-2</v>
      </c>
      <c r="AT30" s="52">
        <f t="shared" ref="AT30" si="205">AT29/AS29-1</f>
        <v>9.0078723500702562E-2</v>
      </c>
      <c r="AU30" s="52">
        <f t="shared" ref="AU30" si="206">AU29/AT29-1</f>
        <v>9.0317773850365546E-2</v>
      </c>
      <c r="AV30" s="52">
        <f t="shared" ref="AV30" si="207">AV29/AU29-1</f>
        <v>9.0521337558361559E-2</v>
      </c>
      <c r="AW30" s="52">
        <f t="shared" ref="AW30" si="208">AW29/AV29-1</f>
        <v>9.0713290626438958E-2</v>
      </c>
      <c r="AX30" s="52">
        <f t="shared" ref="AX30" si="209">AX29/AW29-1</f>
        <v>9.0928524285282863E-2</v>
      </c>
      <c r="AY30" s="52">
        <f t="shared" ref="AY30" si="210">AY29/AX29-1</f>
        <v>9.1101923246494909E-2</v>
      </c>
      <c r="AZ30" s="52">
        <f t="shared" ref="AZ30" si="211">AZ29/AY29-1</f>
        <v>9.1240105777821601E-2</v>
      </c>
      <c r="BA30" s="52">
        <f t="shared" ref="BA30" si="212">BA29/AZ29-1</f>
        <v>9.1416275462553376E-2</v>
      </c>
      <c r="BB30" s="52">
        <f t="shared" ref="BB30" si="213">BB29/BA29-1</f>
        <v>9.1602204529690257E-2</v>
      </c>
      <c r="BC30" s="52">
        <f t="shared" ref="BC30" si="214">BC29/BB29-1</f>
        <v>9.1776987721512659E-2</v>
      </c>
      <c r="BD30" s="52">
        <f t="shared" ref="BD30" si="215">BD29/BC29-1</f>
        <v>9.1958658537549809E-2</v>
      </c>
      <c r="BE30" s="52">
        <f t="shared" ref="BE30" si="216">BE29/BD29-1</f>
        <v>9.2083309194137097E-2</v>
      </c>
      <c r="BF30" s="52">
        <f t="shared" ref="BF30" si="217">BF29/BE29-1</f>
        <v>9.2261723194936973E-2</v>
      </c>
      <c r="BG30" s="52">
        <f t="shared" ref="BG30" si="218">BG29/BF29-1</f>
        <v>9.2420333056090209E-2</v>
      </c>
      <c r="BH30" s="52">
        <f t="shared" ref="BH30" si="219">BH29/BG29-1</f>
        <v>9.2580757384953527E-2</v>
      </c>
      <c r="BI30" s="52">
        <f t="shared" ref="BI30" si="220">BI29/BH29-1</f>
        <v>9.2727742534048918E-2</v>
      </c>
      <c r="BJ30" s="52">
        <f t="shared" ref="BJ30" si="221">BJ29/BI29-1</f>
        <v>9.2892313621878664E-2</v>
      </c>
      <c r="BK30" s="52">
        <f t="shared" ref="BK30" si="222">BK29/BJ29-1</f>
        <v>9.3036449455545345E-2</v>
      </c>
      <c r="BL30" s="52">
        <f t="shared" ref="BL30" si="223">BL29/BK29-1</f>
        <v>9.3168737749825592E-2</v>
      </c>
      <c r="BM30" s="52">
        <f t="shared" ref="BM30" si="224">BM29/BL29-1</f>
        <v>9.3305453648479197E-2</v>
      </c>
      <c r="BN30" s="52">
        <f t="shared" ref="BN30" si="225">BN29/BM29-1</f>
        <v>9.3451697441204296E-2</v>
      </c>
    </row>
    <row r="31" spans="1:66" ht="3" customHeight="1" x14ac:dyDescent="0.3">
      <c r="C31" s="25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</row>
    <row r="32" spans="1:66" x14ac:dyDescent="0.3">
      <c r="C32" t="s">
        <v>51</v>
      </c>
      <c r="G32" s="50">
        <f>'Detailed Financials'!G43</f>
        <v>-674</v>
      </c>
      <c r="H32" s="50">
        <f>'Detailed Financials'!H43</f>
        <v>-1341.6000000000001</v>
      </c>
      <c r="I32" s="50">
        <f>'Detailed Financials'!I43</f>
        <v>-2017.2</v>
      </c>
      <c r="J32" s="50">
        <f>'Detailed Financials'!J43</f>
        <v>-2700.8</v>
      </c>
      <c r="K32" s="50">
        <f>'Detailed Financials'!K43</f>
        <v>-3406.4</v>
      </c>
      <c r="L32" s="50">
        <f>'Detailed Financials'!L43</f>
        <v>-4138.8</v>
      </c>
      <c r="M32" s="50">
        <f>'Detailed Financials'!M43</f>
        <v>-4907.6000000000004</v>
      </c>
      <c r="N32" s="50">
        <f>'Detailed Financials'!N43</f>
        <v>-5717.2</v>
      </c>
      <c r="O32" s="50">
        <f>'Detailed Financials'!O43</f>
        <v>-6577.2</v>
      </c>
      <c r="P32" s="50">
        <f>'Detailed Financials'!P43</f>
        <v>-7492</v>
      </c>
      <c r="Q32" s="50">
        <f>'Detailed Financials'!Q43</f>
        <v>-8466.4</v>
      </c>
      <c r="R32" s="50">
        <f>'Detailed Financials'!R43</f>
        <v>-9509.6</v>
      </c>
      <c r="S32" s="50">
        <f>'Detailed Financials'!S43</f>
        <v>-10222.637500000001</v>
      </c>
      <c r="T32" s="50">
        <f>'Detailed Financials'!T43</f>
        <v>-11309.1875</v>
      </c>
      <c r="U32" s="50">
        <f>'Detailed Financials'!U43</f>
        <v>-12480.987499999999</v>
      </c>
      <c r="V32" s="50">
        <f>'Detailed Financials'!V43</f>
        <v>-13751.6</v>
      </c>
      <c r="W32" s="50">
        <f>'Detailed Financials'!W43</f>
        <v>-15125.674999999999</v>
      </c>
      <c r="X32" s="50">
        <f>'Detailed Financials'!X43</f>
        <v>-16612.512500000001</v>
      </c>
      <c r="Y32" s="50">
        <f>'Detailed Financials'!Y43</f>
        <v>-18225.674999999999</v>
      </c>
      <c r="Z32" s="50">
        <f>'Detailed Financials'!Z43</f>
        <v>-19978.724999999999</v>
      </c>
      <c r="AA32" s="50">
        <f>'Detailed Financials'!AA43</f>
        <v>-21880.575000000001</v>
      </c>
      <c r="AB32" s="50">
        <f>'Detailed Financials'!AB43</f>
        <v>-23954.087500000001</v>
      </c>
      <c r="AC32" s="50">
        <f>'Detailed Financials'!AC43</f>
        <v>-26208.5625</v>
      </c>
      <c r="AD32" s="50">
        <f>'Detailed Financials'!AD43</f>
        <v>-28652.912499999999</v>
      </c>
      <c r="AE32" s="50">
        <f>'Detailed Financials'!AE43</f>
        <v>-30160.125</v>
      </c>
      <c r="AF32" s="50">
        <f>'Detailed Financials'!AF43</f>
        <v>-32806.875</v>
      </c>
      <c r="AG32" s="50">
        <f>'Detailed Financials'!AG43</f>
        <v>-35691</v>
      </c>
      <c r="AH32" s="50">
        <f>'Detailed Financials'!AH43</f>
        <v>-38839.125</v>
      </c>
      <c r="AI32" s="50">
        <f>'Detailed Financials'!AI43</f>
        <v>-42264.375</v>
      </c>
      <c r="AJ32" s="50">
        <f>'Detailed Financials'!AJ43</f>
        <v>-46002</v>
      </c>
      <c r="AK32" s="50">
        <f>'Detailed Financials'!AK43</f>
        <v>-50078.625</v>
      </c>
      <c r="AL32" s="50">
        <f>'Detailed Financials'!AL43</f>
        <v>-54521.25</v>
      </c>
      <c r="AM32" s="50">
        <f>'Detailed Financials'!AM43</f>
        <v>-59365.125</v>
      </c>
      <c r="AN32" s="50">
        <f>'Detailed Financials'!AN43</f>
        <v>-64645.5</v>
      </c>
      <c r="AO32" s="50">
        <f>'Detailed Financials'!AO43</f>
        <v>-70415.25</v>
      </c>
      <c r="AP32" s="50">
        <f>'Detailed Financials'!AP43</f>
        <v>-76710.375</v>
      </c>
      <c r="AQ32" s="50">
        <f>'Detailed Financials'!AQ43</f>
        <v>-80789.649999999994</v>
      </c>
      <c r="AR32" s="50">
        <f>'Detailed Financials'!AR43</f>
        <v>-88040.737499999988</v>
      </c>
      <c r="AS32" s="50">
        <f>'Detailed Financials'!AS43</f>
        <v>-95962.45</v>
      </c>
      <c r="AT32" s="50">
        <f>'Detailed Financials'!AT43</f>
        <v>-104606.625</v>
      </c>
      <c r="AU32" s="50">
        <f>'Detailed Financials'!AU43</f>
        <v>-114054.46249999999</v>
      </c>
      <c r="AV32" s="50">
        <f>'Detailed Financials'!AV43</f>
        <v>-124378.825</v>
      </c>
      <c r="AW32" s="50">
        <f>'Detailed Financials'!AW43</f>
        <v>-135661.63749999998</v>
      </c>
      <c r="AX32" s="50">
        <f>'Detailed Financials'!AX43</f>
        <v>-147997.15</v>
      </c>
      <c r="AY32" s="50">
        <f>'Detailed Financials'!AY43</f>
        <v>-161479.97499999998</v>
      </c>
      <c r="AZ32" s="50">
        <f>'Detailed Financials'!AZ43</f>
        <v>-176213.42499999999</v>
      </c>
      <c r="BA32" s="50">
        <f>'Detailed Financials'!BA43</f>
        <v>-192322.19999999998</v>
      </c>
      <c r="BB32" s="50">
        <f>'Detailed Financials'!BB43</f>
        <v>-209939.33749999999</v>
      </c>
      <c r="BC32" s="50">
        <f>'Detailed Financials'!BC43</f>
        <v>-221303.24999999997</v>
      </c>
      <c r="BD32" s="50">
        <f>'Detailed Financials'!BD43</f>
        <v>-241653.99999999997</v>
      </c>
      <c r="BE32" s="50">
        <f>'Detailed Financials'!BE43</f>
        <v>-263906.3</v>
      </c>
      <c r="BF32" s="50">
        <f>'Detailed Financials'!BF43</f>
        <v>-288254.74999999994</v>
      </c>
      <c r="BG32" s="50">
        <f>'Detailed Financials'!BG43</f>
        <v>-314895.34999999998</v>
      </c>
      <c r="BH32" s="50">
        <f>'Detailed Financials'!BH43</f>
        <v>-344048.6</v>
      </c>
      <c r="BI32" s="50">
        <f>'Detailed Financials'!BI43</f>
        <v>-375951.44999999995</v>
      </c>
      <c r="BJ32" s="50">
        <f>'Detailed Financials'!BJ43</f>
        <v>-410874.44999999995</v>
      </c>
      <c r="BK32" s="50">
        <f>'Detailed Financials'!BK43</f>
        <v>-449100.74999999994</v>
      </c>
      <c r="BL32" s="50">
        <f>'Detailed Financials'!BL43</f>
        <v>-490942.89999999997</v>
      </c>
      <c r="BM32" s="50">
        <f>'Detailed Financials'!BM43</f>
        <v>-536750.54999999993</v>
      </c>
      <c r="BN32" s="50">
        <f>'Detailed Financials'!BN43</f>
        <v>-586910.79999999993</v>
      </c>
    </row>
    <row r="33" spans="3:66" ht="3" customHeight="1" x14ac:dyDescent="0.3">
      <c r="C33" s="25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</row>
    <row r="34" spans="3:66" x14ac:dyDescent="0.3">
      <c r="C34" s="31" t="s">
        <v>53</v>
      </c>
      <c r="D34" s="32"/>
      <c r="E34" s="32"/>
      <c r="F34" s="32"/>
      <c r="G34" s="39">
        <f t="shared" ref="G34:AD34" si="226">G32+G29</f>
        <v>3538.5</v>
      </c>
      <c r="H34" s="39">
        <f t="shared" si="226"/>
        <v>7043.4</v>
      </c>
      <c r="I34" s="39">
        <f t="shared" si="226"/>
        <v>10590.3</v>
      </c>
      <c r="J34" s="39">
        <f t="shared" si="226"/>
        <v>14179.2</v>
      </c>
      <c r="K34" s="39">
        <f t="shared" si="226"/>
        <v>17883.599999999999</v>
      </c>
      <c r="L34" s="39">
        <f t="shared" si="226"/>
        <v>21728.7</v>
      </c>
      <c r="M34" s="39">
        <f t="shared" si="226"/>
        <v>25764.9</v>
      </c>
      <c r="N34" s="39">
        <f t="shared" si="226"/>
        <v>30015.3</v>
      </c>
      <c r="O34" s="39">
        <f t="shared" si="226"/>
        <v>34530.300000000003</v>
      </c>
      <c r="P34" s="39">
        <f t="shared" si="226"/>
        <v>39333</v>
      </c>
      <c r="Q34" s="39">
        <f t="shared" si="226"/>
        <v>44448.6</v>
      </c>
      <c r="R34" s="39">
        <f t="shared" si="226"/>
        <v>49925.4</v>
      </c>
      <c r="S34" s="39">
        <f t="shared" si="226"/>
        <v>55729.862500000003</v>
      </c>
      <c r="T34" s="39">
        <f t="shared" si="226"/>
        <v>61653.3125</v>
      </c>
      <c r="U34" s="39">
        <f t="shared" si="226"/>
        <v>68041.512499999997</v>
      </c>
      <c r="V34" s="39">
        <f t="shared" si="226"/>
        <v>74968.399999999994</v>
      </c>
      <c r="W34" s="39">
        <f t="shared" si="226"/>
        <v>82459.324999999997</v>
      </c>
      <c r="X34" s="39">
        <f t="shared" si="226"/>
        <v>90564.987500000003</v>
      </c>
      <c r="Y34" s="39">
        <f t="shared" si="226"/>
        <v>99359.324999999997</v>
      </c>
      <c r="Z34" s="39">
        <f t="shared" si="226"/>
        <v>108916.27499999999</v>
      </c>
      <c r="AA34" s="39">
        <f t="shared" si="226"/>
        <v>119284.425</v>
      </c>
      <c r="AB34" s="39">
        <f t="shared" si="226"/>
        <v>130588.41250000001</v>
      </c>
      <c r="AC34" s="39">
        <f t="shared" si="226"/>
        <v>142878.9375</v>
      </c>
      <c r="AD34" s="39">
        <f t="shared" si="226"/>
        <v>156204.58749999999</v>
      </c>
      <c r="AE34" s="39">
        <f t="shared" ref="AE34:BN34" si="227">AE32+AE29</f>
        <v>170907.375</v>
      </c>
      <c r="AF34" s="39">
        <f t="shared" si="227"/>
        <v>185905.625</v>
      </c>
      <c r="AG34" s="39">
        <f t="shared" si="227"/>
        <v>202249</v>
      </c>
      <c r="AH34" s="39">
        <f t="shared" si="227"/>
        <v>220088.375</v>
      </c>
      <c r="AI34" s="39">
        <f t="shared" si="227"/>
        <v>239498.125</v>
      </c>
      <c r="AJ34" s="39">
        <f t="shared" si="227"/>
        <v>260678</v>
      </c>
      <c r="AK34" s="39">
        <f t="shared" si="227"/>
        <v>283778.875</v>
      </c>
      <c r="AL34" s="39">
        <f t="shared" si="227"/>
        <v>308953.75</v>
      </c>
      <c r="AM34" s="39">
        <f t="shared" si="227"/>
        <v>336402.375</v>
      </c>
      <c r="AN34" s="39">
        <f t="shared" si="227"/>
        <v>366324.5</v>
      </c>
      <c r="AO34" s="39">
        <f t="shared" si="227"/>
        <v>399019.75</v>
      </c>
      <c r="AP34" s="39">
        <f t="shared" si="227"/>
        <v>434692.125</v>
      </c>
      <c r="AQ34" s="39">
        <f t="shared" si="227"/>
        <v>476380.35</v>
      </c>
      <c r="AR34" s="39">
        <f t="shared" si="227"/>
        <v>519136.76250000001</v>
      </c>
      <c r="AS34" s="39">
        <f t="shared" si="227"/>
        <v>565847.55000000005</v>
      </c>
      <c r="AT34" s="39">
        <f t="shared" si="227"/>
        <v>616818.375</v>
      </c>
      <c r="AU34" s="39">
        <f t="shared" si="227"/>
        <v>672528.03749999998</v>
      </c>
      <c r="AV34" s="39">
        <f t="shared" si="227"/>
        <v>733406.17500000005</v>
      </c>
      <c r="AW34" s="39">
        <f t="shared" si="227"/>
        <v>799935.86250000005</v>
      </c>
      <c r="AX34" s="39">
        <f t="shared" si="227"/>
        <v>872672.85</v>
      </c>
      <c r="AY34" s="39">
        <f t="shared" si="227"/>
        <v>952175.02500000002</v>
      </c>
      <c r="AZ34" s="39">
        <f t="shared" si="227"/>
        <v>1039051.575</v>
      </c>
      <c r="BA34" s="39">
        <f t="shared" si="227"/>
        <v>1134037.8</v>
      </c>
      <c r="BB34" s="39">
        <f t="shared" si="227"/>
        <v>1237918.1625000001</v>
      </c>
      <c r="BC34" s="39">
        <f t="shared" si="227"/>
        <v>1359434.25</v>
      </c>
      <c r="BD34" s="39">
        <f t="shared" si="227"/>
        <v>1484446</v>
      </c>
      <c r="BE34" s="39">
        <f t="shared" si="227"/>
        <v>1621138.7</v>
      </c>
      <c r="BF34" s="39">
        <f t="shared" si="227"/>
        <v>1770707.75</v>
      </c>
      <c r="BG34" s="39">
        <f t="shared" si="227"/>
        <v>1934357.15</v>
      </c>
      <c r="BH34" s="39">
        <f t="shared" si="227"/>
        <v>2113441.4</v>
      </c>
      <c r="BI34" s="39">
        <f t="shared" si="227"/>
        <v>2309416.0499999998</v>
      </c>
      <c r="BJ34" s="39">
        <f t="shared" si="227"/>
        <v>2523943.0499999998</v>
      </c>
      <c r="BK34" s="39">
        <f t="shared" si="227"/>
        <v>2758761.75</v>
      </c>
      <c r="BL34" s="39">
        <f t="shared" si="227"/>
        <v>3015792.1</v>
      </c>
      <c r="BM34" s="39">
        <f t="shared" si="227"/>
        <v>3297181.95</v>
      </c>
      <c r="BN34" s="39">
        <f t="shared" si="227"/>
        <v>3605309.2</v>
      </c>
    </row>
    <row r="35" spans="3:66" x14ac:dyDescent="0.3">
      <c r="C35" s="25" t="s">
        <v>73</v>
      </c>
      <c r="G35" s="69">
        <f>G34/G$29</f>
        <v>0.84</v>
      </c>
      <c r="H35" s="69">
        <f t="shared" ref="H35:AD35" si="228">H34/H$29</f>
        <v>0.84</v>
      </c>
      <c r="I35" s="69">
        <f t="shared" si="228"/>
        <v>0.84</v>
      </c>
      <c r="J35" s="69">
        <f t="shared" si="228"/>
        <v>0.84000000000000008</v>
      </c>
      <c r="K35" s="69">
        <f t="shared" si="228"/>
        <v>0.84</v>
      </c>
      <c r="L35" s="69">
        <f t="shared" si="228"/>
        <v>0.84000000000000008</v>
      </c>
      <c r="M35" s="69">
        <f t="shared" si="228"/>
        <v>0.84000000000000008</v>
      </c>
      <c r="N35" s="69">
        <f t="shared" si="228"/>
        <v>0.84</v>
      </c>
      <c r="O35" s="69">
        <f t="shared" si="228"/>
        <v>0.84000000000000008</v>
      </c>
      <c r="P35" s="69">
        <f t="shared" si="228"/>
        <v>0.84</v>
      </c>
      <c r="Q35" s="69">
        <f t="shared" si="228"/>
        <v>0.84</v>
      </c>
      <c r="R35" s="69">
        <f t="shared" si="228"/>
        <v>0.84000000000000008</v>
      </c>
      <c r="S35" s="69">
        <f t="shared" si="228"/>
        <v>0.84500000000000008</v>
      </c>
      <c r="T35" s="69">
        <f t="shared" si="228"/>
        <v>0.84499999999999997</v>
      </c>
      <c r="U35" s="69">
        <f t="shared" si="228"/>
        <v>0.84499999999999997</v>
      </c>
      <c r="V35" s="69">
        <f t="shared" si="228"/>
        <v>0.84499999999999997</v>
      </c>
      <c r="W35" s="69">
        <f t="shared" si="228"/>
        <v>0.84499999999999997</v>
      </c>
      <c r="X35" s="69">
        <f t="shared" si="228"/>
        <v>0.84499999999999997</v>
      </c>
      <c r="Y35" s="69">
        <f t="shared" si="228"/>
        <v>0.84499999999999997</v>
      </c>
      <c r="Z35" s="69">
        <f t="shared" si="228"/>
        <v>0.84499999999999997</v>
      </c>
      <c r="AA35" s="69">
        <f t="shared" si="228"/>
        <v>0.84499999999999997</v>
      </c>
      <c r="AB35" s="69">
        <f t="shared" si="228"/>
        <v>0.84500000000000008</v>
      </c>
      <c r="AC35" s="69">
        <f t="shared" si="228"/>
        <v>0.84499999999999997</v>
      </c>
      <c r="AD35" s="69">
        <f t="shared" si="228"/>
        <v>0.84499999999999997</v>
      </c>
      <c r="AE35" s="69">
        <f t="shared" ref="AE35:BN35" si="229">AE34/AE$29</f>
        <v>0.85</v>
      </c>
      <c r="AF35" s="69">
        <f t="shared" si="229"/>
        <v>0.85</v>
      </c>
      <c r="AG35" s="69">
        <f t="shared" si="229"/>
        <v>0.85</v>
      </c>
      <c r="AH35" s="69">
        <f t="shared" si="229"/>
        <v>0.85</v>
      </c>
      <c r="AI35" s="69">
        <f t="shared" si="229"/>
        <v>0.85</v>
      </c>
      <c r="AJ35" s="69">
        <f t="shared" si="229"/>
        <v>0.85</v>
      </c>
      <c r="AK35" s="69">
        <f t="shared" si="229"/>
        <v>0.85</v>
      </c>
      <c r="AL35" s="69">
        <f t="shared" si="229"/>
        <v>0.85</v>
      </c>
      <c r="AM35" s="69">
        <f t="shared" si="229"/>
        <v>0.85</v>
      </c>
      <c r="AN35" s="69">
        <f t="shared" si="229"/>
        <v>0.85</v>
      </c>
      <c r="AO35" s="69">
        <f t="shared" si="229"/>
        <v>0.85</v>
      </c>
      <c r="AP35" s="69">
        <f t="shared" si="229"/>
        <v>0.85</v>
      </c>
      <c r="AQ35" s="69">
        <f t="shared" si="229"/>
        <v>0.85499999999999998</v>
      </c>
      <c r="AR35" s="69">
        <f t="shared" si="229"/>
        <v>0.85499999999999998</v>
      </c>
      <c r="AS35" s="69">
        <f t="shared" si="229"/>
        <v>0.85500000000000009</v>
      </c>
      <c r="AT35" s="69">
        <f t="shared" si="229"/>
        <v>0.85499999999999998</v>
      </c>
      <c r="AU35" s="69">
        <f t="shared" si="229"/>
        <v>0.85499999999999998</v>
      </c>
      <c r="AV35" s="69">
        <f t="shared" si="229"/>
        <v>0.85500000000000009</v>
      </c>
      <c r="AW35" s="69">
        <f t="shared" si="229"/>
        <v>0.85500000000000009</v>
      </c>
      <c r="AX35" s="69">
        <f t="shared" si="229"/>
        <v>0.85499999999999998</v>
      </c>
      <c r="AY35" s="69">
        <f t="shared" si="229"/>
        <v>0.85499999999999998</v>
      </c>
      <c r="AZ35" s="69">
        <f t="shared" si="229"/>
        <v>0.85499999999999998</v>
      </c>
      <c r="BA35" s="69">
        <f t="shared" si="229"/>
        <v>0.85499999999999998</v>
      </c>
      <c r="BB35" s="69">
        <f t="shared" si="229"/>
        <v>0.85500000000000009</v>
      </c>
      <c r="BC35" s="69">
        <f t="shared" si="229"/>
        <v>0.86</v>
      </c>
      <c r="BD35" s="69">
        <f t="shared" si="229"/>
        <v>0.86</v>
      </c>
      <c r="BE35" s="69">
        <f t="shared" si="229"/>
        <v>0.86</v>
      </c>
      <c r="BF35" s="69">
        <f t="shared" si="229"/>
        <v>0.86</v>
      </c>
      <c r="BG35" s="69">
        <f t="shared" si="229"/>
        <v>0.86</v>
      </c>
      <c r="BH35" s="69">
        <f t="shared" si="229"/>
        <v>0.86</v>
      </c>
      <c r="BI35" s="69">
        <f t="shared" si="229"/>
        <v>0.85999999999999988</v>
      </c>
      <c r="BJ35" s="69">
        <f t="shared" si="229"/>
        <v>0.86</v>
      </c>
      <c r="BK35" s="69">
        <f t="shared" si="229"/>
        <v>0.86</v>
      </c>
      <c r="BL35" s="69">
        <f t="shared" si="229"/>
        <v>0.86</v>
      </c>
      <c r="BM35" s="69">
        <f t="shared" si="229"/>
        <v>0.8600000000000001</v>
      </c>
      <c r="BN35" s="69">
        <f t="shared" si="229"/>
        <v>0.8600000000000001</v>
      </c>
    </row>
    <row r="37" spans="3:66" x14ac:dyDescent="0.3">
      <c r="C37" t="s">
        <v>97</v>
      </c>
      <c r="G37" s="50">
        <f>'Detailed Financials'!G109</f>
        <v>-54000</v>
      </c>
      <c r="H37" s="50">
        <f>'Detailed Financials'!H109</f>
        <v>-54000</v>
      </c>
      <c r="I37" s="50">
        <f>'Detailed Financials'!I109</f>
        <v>-54000</v>
      </c>
      <c r="J37" s="50">
        <f>'Detailed Financials'!J109</f>
        <v>-72000</v>
      </c>
      <c r="K37" s="50">
        <f>'Detailed Financials'!K109</f>
        <v>-72000</v>
      </c>
      <c r="L37" s="50">
        <f>'Detailed Financials'!L109</f>
        <v>-72000</v>
      </c>
      <c r="M37" s="50">
        <f>'Detailed Financials'!M109</f>
        <v>-96000</v>
      </c>
      <c r="N37" s="50">
        <f>'Detailed Financials'!N109</f>
        <v>-96000</v>
      </c>
      <c r="O37" s="50">
        <f>'Detailed Financials'!O109</f>
        <v>-96000</v>
      </c>
      <c r="P37" s="50">
        <f>'Detailed Financials'!P109</f>
        <v>-132000</v>
      </c>
      <c r="Q37" s="50">
        <f>'Detailed Financials'!Q109</f>
        <v>-132000</v>
      </c>
      <c r="R37" s="50">
        <f>'Detailed Financials'!R109</f>
        <v>-138000</v>
      </c>
      <c r="S37" s="50">
        <f>'Detailed Financials'!S109</f>
        <v>-160320</v>
      </c>
      <c r="T37" s="50">
        <f>'Detailed Financials'!T109</f>
        <v>-160320</v>
      </c>
      <c r="U37" s="50">
        <f>'Detailed Financials'!U109</f>
        <v>-160320</v>
      </c>
      <c r="V37" s="50">
        <f>'Detailed Financials'!V109</f>
        <v>-203760</v>
      </c>
      <c r="W37" s="50">
        <f>'Detailed Financials'!W109</f>
        <v>-203760</v>
      </c>
      <c r="X37" s="50">
        <f>'Detailed Financials'!X109</f>
        <v>-203760</v>
      </c>
      <c r="Y37" s="50">
        <f>'Detailed Financials'!Y109</f>
        <v>-229680</v>
      </c>
      <c r="Z37" s="50">
        <f>'Detailed Financials'!Z109</f>
        <v>-247680</v>
      </c>
      <c r="AA37" s="50">
        <f>'Detailed Financials'!AA109</f>
        <v>-247680</v>
      </c>
      <c r="AB37" s="50">
        <f>'Detailed Financials'!AB109</f>
        <v>-274560</v>
      </c>
      <c r="AC37" s="50">
        <f>'Detailed Financials'!AC109</f>
        <v>-292560</v>
      </c>
      <c r="AD37" s="50">
        <f>'Detailed Financials'!AD109</f>
        <v>-299040</v>
      </c>
      <c r="AE37" s="50">
        <f>'Detailed Financials'!AE109</f>
        <v>-318825.59999999998</v>
      </c>
      <c r="AF37" s="50">
        <f>'Detailed Financials'!AF109</f>
        <v>-342825.6</v>
      </c>
      <c r="AG37" s="50">
        <f>'Detailed Financials'!AG109</f>
        <v>-348825.59999999998</v>
      </c>
      <c r="AH37" s="50">
        <f>'Detailed Financials'!AH109</f>
        <v>-394300.8</v>
      </c>
      <c r="AI37" s="50">
        <f>'Detailed Financials'!AI109</f>
        <v>-394300.8</v>
      </c>
      <c r="AJ37" s="50">
        <f>'Detailed Financials'!AJ109</f>
        <v>-418300.8</v>
      </c>
      <c r="AK37" s="50">
        <f>'Detailed Financials'!AK109</f>
        <v>-462374.40000000002</v>
      </c>
      <c r="AL37" s="50">
        <f>'Detailed Financials'!AL109</f>
        <v>-469814.4</v>
      </c>
      <c r="AM37" s="50">
        <f>'Detailed Financials'!AM109</f>
        <v>-499814.40000000002</v>
      </c>
      <c r="AN37" s="50">
        <f>'Detailed Financials'!AN109</f>
        <v>-543964.80000000005</v>
      </c>
      <c r="AO37" s="50">
        <f>'Detailed Financials'!AO109</f>
        <v>-569404.80000000005</v>
      </c>
      <c r="AP37" s="50">
        <f>'Detailed Financials'!AP109</f>
        <v>-599923.19999999995</v>
      </c>
      <c r="AQ37" s="50">
        <f>'Detailed Financials'!AQ109</f>
        <v>-643506.04800000007</v>
      </c>
      <c r="AR37" s="50">
        <f>'Detailed Financials'!AR109</f>
        <v>-675426.04800000007</v>
      </c>
      <c r="AS37" s="50">
        <f>'Detailed Financials'!AS109</f>
        <v>-705906.04800000007</v>
      </c>
      <c r="AT37" s="50">
        <f>'Detailed Financials'!AT109</f>
        <v>-775544.06400000001</v>
      </c>
      <c r="AU37" s="50">
        <f>'Detailed Financials'!AU109</f>
        <v>-811544.06400000001</v>
      </c>
      <c r="AV37" s="50">
        <f>'Detailed Financials'!AV109</f>
        <v>-861464.06400000001</v>
      </c>
      <c r="AW37" s="50">
        <f>'Detailed Financials'!AW109</f>
        <v>-936989.95199999993</v>
      </c>
      <c r="AX37" s="50">
        <f>'Detailed Financials'!AX109</f>
        <v>-991585.152</v>
      </c>
      <c r="AY37" s="50">
        <f>'Detailed Financials'!AY109</f>
        <v>-1047985.152</v>
      </c>
      <c r="AZ37" s="50">
        <f>'Detailed Financials'!AZ109</f>
        <v>-1147517.1839999999</v>
      </c>
      <c r="BA37" s="50">
        <f>'Detailed Financials'!BA109</f>
        <v>-1209552.3840000001</v>
      </c>
      <c r="BB37" s="50">
        <f>'Detailed Financials'!BB109</f>
        <v>-1289993.8559999999</v>
      </c>
      <c r="BC37" s="50">
        <f>'Detailed Financials'!BC109</f>
        <v>-1395480.4838400001</v>
      </c>
      <c r="BD37" s="50">
        <f>'Detailed Financials'!BD109</f>
        <v>-1500034.08384</v>
      </c>
      <c r="BE37" s="50">
        <f>'Detailed Financials'!BE109</f>
        <v>-1604472.4838400001</v>
      </c>
      <c r="BF37" s="50">
        <f>'Detailed Financials'!BF109</f>
        <v>-1742043.5251200001</v>
      </c>
      <c r="BG37" s="50">
        <f>'Detailed Financials'!BG109</f>
        <v>-1852923.5251200001</v>
      </c>
      <c r="BH37" s="50">
        <f>'Detailed Financials'!BH109</f>
        <v>-1994917.12512</v>
      </c>
      <c r="BI37" s="50">
        <f>'Detailed Financials'!BI109</f>
        <v>-2174959.1961600003</v>
      </c>
      <c r="BJ37" s="50">
        <f>'Detailed Financials'!BJ109</f>
        <v>-2335326.8121600002</v>
      </c>
      <c r="BK37" s="50">
        <f>'Detailed Financials'!BK109</f>
        <v>-2507838.8121600002</v>
      </c>
      <c r="BL37" s="50">
        <f>'Detailed Financials'!BL109</f>
        <v>-2737801.3747199997</v>
      </c>
      <c r="BM37" s="50">
        <f>'Detailed Financials'!BM109</f>
        <v>-2958764.1907200003</v>
      </c>
      <c r="BN37" s="50">
        <f>'Detailed Financials'!BN109</f>
        <v>-3181199.5084800003</v>
      </c>
    </row>
    <row r="38" spans="3:66" x14ac:dyDescent="0.3">
      <c r="C38" t="s">
        <v>75</v>
      </c>
      <c r="G38" s="62">
        <f>'Detailed Financials'!G110</f>
        <v>-210.625</v>
      </c>
      <c r="H38" s="62">
        <f>'Detailed Financials'!H110</f>
        <v>-419.25</v>
      </c>
      <c r="I38" s="62">
        <f>'Detailed Financials'!I110</f>
        <v>-630.375</v>
      </c>
      <c r="J38" s="62">
        <f>'Detailed Financials'!J110</f>
        <v>-844</v>
      </c>
      <c r="K38" s="62">
        <f>'Detailed Financials'!K110</f>
        <v>-1064.5</v>
      </c>
      <c r="L38" s="62">
        <f>'Detailed Financials'!L110</f>
        <v>-1293.375</v>
      </c>
      <c r="M38" s="62">
        <f>'Detailed Financials'!M110</f>
        <v>-1533.625</v>
      </c>
      <c r="N38" s="62">
        <f>'Detailed Financials'!N110</f>
        <v>-1786.625</v>
      </c>
      <c r="O38" s="62">
        <f>'Detailed Financials'!O110</f>
        <v>-2055.375</v>
      </c>
      <c r="P38" s="62">
        <f>'Detailed Financials'!P110</f>
        <v>-2341.25</v>
      </c>
      <c r="Q38" s="62">
        <f>'Detailed Financials'!Q110</f>
        <v>-2645.75</v>
      </c>
      <c r="R38" s="62">
        <f>'Detailed Financials'!R110</f>
        <v>-2971.75</v>
      </c>
      <c r="S38" s="62">
        <f>'Detailed Financials'!S110</f>
        <v>-3297.625</v>
      </c>
      <c r="T38" s="62">
        <f>'Detailed Financials'!T110</f>
        <v>-3648.125</v>
      </c>
      <c r="U38" s="62">
        <f>'Detailed Financials'!U110</f>
        <v>-4026.125</v>
      </c>
      <c r="V38" s="62">
        <f>'Detailed Financials'!V110</f>
        <v>-4436</v>
      </c>
      <c r="W38" s="62">
        <f>'Detailed Financials'!W110</f>
        <v>-4879.25</v>
      </c>
      <c r="X38" s="62">
        <f>'Detailed Financials'!X110</f>
        <v>-5358.875</v>
      </c>
      <c r="Y38" s="62">
        <f>'Detailed Financials'!Y110</f>
        <v>-5879.25</v>
      </c>
      <c r="Z38" s="62">
        <f>'Detailed Financials'!Z110</f>
        <v>-6444.75</v>
      </c>
      <c r="AA38" s="62">
        <f>'Detailed Financials'!AA110</f>
        <v>-7058.25</v>
      </c>
      <c r="AB38" s="62">
        <f>'Detailed Financials'!AB110</f>
        <v>-7727.125</v>
      </c>
      <c r="AC38" s="62">
        <f>'Detailed Financials'!AC110</f>
        <v>-8454.375</v>
      </c>
      <c r="AD38" s="62">
        <f>'Detailed Financials'!AD110</f>
        <v>-9242.875</v>
      </c>
      <c r="AE38" s="62">
        <f>'Detailed Financials'!AE110</f>
        <v>-10053.375</v>
      </c>
      <c r="AF38" s="62">
        <f>'Detailed Financials'!AF110</f>
        <v>-10935.625</v>
      </c>
      <c r="AG38" s="62">
        <f>'Detailed Financials'!AG110</f>
        <v>-11897</v>
      </c>
      <c r="AH38" s="62">
        <f>'Detailed Financials'!AH110</f>
        <v>-12946.375</v>
      </c>
      <c r="AI38" s="62">
        <f>'Detailed Financials'!AI110</f>
        <v>-14088.125</v>
      </c>
      <c r="AJ38" s="62">
        <f>'Detailed Financials'!AJ110</f>
        <v>-15334</v>
      </c>
      <c r="AK38" s="62">
        <f>'Detailed Financials'!AK110</f>
        <v>-16692.875</v>
      </c>
      <c r="AL38" s="62">
        <f>'Detailed Financials'!AL110</f>
        <v>-18173.75</v>
      </c>
      <c r="AM38" s="62">
        <f>'Detailed Financials'!AM110</f>
        <v>-19788.375</v>
      </c>
      <c r="AN38" s="62">
        <f>'Detailed Financials'!AN110</f>
        <v>-21548.5</v>
      </c>
      <c r="AO38" s="62">
        <f>'Detailed Financials'!AO110</f>
        <v>-23471.75</v>
      </c>
      <c r="AP38" s="62">
        <f>'Detailed Financials'!AP110</f>
        <v>-25570.125</v>
      </c>
      <c r="AQ38" s="62">
        <f>'Detailed Financials'!AQ110</f>
        <v>-27858.5</v>
      </c>
      <c r="AR38" s="62">
        <f>'Detailed Financials'!AR110</f>
        <v>-30358.875</v>
      </c>
      <c r="AS38" s="62">
        <f>'Detailed Financials'!AS110</f>
        <v>-33090.5</v>
      </c>
      <c r="AT38" s="62">
        <f>'Detailed Financials'!AT110</f>
        <v>-36071.25</v>
      </c>
      <c r="AU38" s="62">
        <f>'Detailed Financials'!AU110</f>
        <v>-39329.125</v>
      </c>
      <c r="AV38" s="62">
        <f>'Detailed Financials'!AV110</f>
        <v>-42889.25</v>
      </c>
      <c r="AW38" s="62">
        <f>'Detailed Financials'!AW110</f>
        <v>-46779.875</v>
      </c>
      <c r="AX38" s="62">
        <f>'Detailed Financials'!AX110</f>
        <v>-51033.5</v>
      </c>
      <c r="AY38" s="62">
        <f>'Detailed Financials'!AY110</f>
        <v>-55682.75</v>
      </c>
      <c r="AZ38" s="62">
        <f>'Detailed Financials'!AZ110</f>
        <v>-60763.25</v>
      </c>
      <c r="BA38" s="62">
        <f>'Detailed Financials'!BA110</f>
        <v>-66318</v>
      </c>
      <c r="BB38" s="62">
        <f>'Detailed Financials'!BB110</f>
        <v>-72392.875</v>
      </c>
      <c r="BC38" s="62">
        <f>'Detailed Financials'!BC110</f>
        <v>-79036.875</v>
      </c>
      <c r="BD38" s="62">
        <f>'Detailed Financials'!BD110</f>
        <v>-86305</v>
      </c>
      <c r="BE38" s="62">
        <f>'Detailed Financials'!BE110</f>
        <v>-94252.25</v>
      </c>
      <c r="BF38" s="62">
        <f>'Detailed Financials'!BF110</f>
        <v>-102948.125</v>
      </c>
      <c r="BG38" s="62">
        <f>'Detailed Financials'!BG110</f>
        <v>-112462.625</v>
      </c>
      <c r="BH38" s="62">
        <f>'Detailed Financials'!BH110</f>
        <v>-122874.5</v>
      </c>
      <c r="BI38" s="62">
        <f>'Detailed Financials'!BI110</f>
        <v>-134268.375</v>
      </c>
      <c r="BJ38" s="62">
        <f>'Detailed Financials'!BJ110</f>
        <v>-146740.875</v>
      </c>
      <c r="BK38" s="62">
        <f>'Detailed Financials'!BK110</f>
        <v>-160393.125</v>
      </c>
      <c r="BL38" s="62">
        <f>'Detailed Financials'!BL110</f>
        <v>-175336.75</v>
      </c>
      <c r="BM38" s="62">
        <f>'Detailed Financials'!BM110</f>
        <v>-191696.625</v>
      </c>
      <c r="BN38" s="62">
        <f>'Detailed Financials'!BN110</f>
        <v>-209611</v>
      </c>
    </row>
    <row r="39" spans="3:66" x14ac:dyDescent="0.3">
      <c r="C39" t="s">
        <v>98</v>
      </c>
      <c r="G39" s="62">
        <f>'Detailed Financials'!G111</f>
        <v>-20000</v>
      </c>
      <c r="H39" s="62">
        <f>'Detailed Financials'!H111</f>
        <v>-21700</v>
      </c>
      <c r="I39" s="62">
        <f>'Detailed Financials'!I111</f>
        <v>-23500</v>
      </c>
      <c r="J39" s="62">
        <f>'Detailed Financials'!J111</f>
        <v>-24398</v>
      </c>
      <c r="K39" s="62">
        <f>'Detailed Financials'!K111</f>
        <v>-26508</v>
      </c>
      <c r="L39" s="62">
        <f>'Detailed Financials'!L111</f>
        <v>-28713</v>
      </c>
      <c r="M39" s="62">
        <f>'Detailed Financials'!M111</f>
        <v>-29870.760000000002</v>
      </c>
      <c r="N39" s="62">
        <f>'Detailed Financials'!N111</f>
        <v>-32443.84</v>
      </c>
      <c r="O39" s="62">
        <f>'Detailed Financials'!O111</f>
        <v>-35197.42</v>
      </c>
      <c r="P39" s="62">
        <f>'Detailed Financials'!P111</f>
        <v>-36698.0821</v>
      </c>
      <c r="Q39" s="62">
        <f>'Detailed Financials'!Q111</f>
        <v>-39776.311800000003</v>
      </c>
      <c r="R39" s="62">
        <f>'Detailed Financials'!R111</f>
        <v>-43208.551099999997</v>
      </c>
      <c r="S39" s="62">
        <f>'Detailed Financials'!S111</f>
        <v>-45005.788563000002</v>
      </c>
      <c r="T39" s="62">
        <f>'Detailed Financials'!T111</f>
        <v>-48879.933121000002</v>
      </c>
      <c r="U39" s="62">
        <f>'Detailed Financials'!U111</f>
        <v>-52998.429554000002</v>
      </c>
      <c r="V39" s="62">
        <f>'Detailed Financials'!V111</f>
        <v>-55199.677631280007</v>
      </c>
      <c r="W39" s="62">
        <f>'Detailed Financials'!W111</f>
        <v>-60029.260050320008</v>
      </c>
      <c r="X39" s="62">
        <f>'Detailed Financials'!X111</f>
        <v>-65090.976750610003</v>
      </c>
      <c r="Y39" s="62">
        <f>'Detailed Financials'!Y111</f>
        <v>-67814.662303671299</v>
      </c>
      <c r="Z39" s="62">
        <f>'Detailed Financials'!Z111</f>
        <v>-73655.848969611703</v>
      </c>
      <c r="AA39" s="62">
        <f>'Detailed Financials'!AA111</f>
        <v>-80031.175981850407</v>
      </c>
      <c r="AB39" s="62">
        <f>'Detailed Financials'!AB111</f>
        <v>-83423.115371472653</v>
      </c>
      <c r="AC39" s="62">
        <f>'Detailed Financials'!AC111</f>
        <v>-90687.520358600392</v>
      </c>
      <c r="AD39" s="62">
        <f>'Detailed Financials'!AD111</f>
        <v>-98532.524292340619</v>
      </c>
      <c r="AE39" s="62">
        <f>'Detailed Financials'!AE111</f>
        <v>-102644.6137550922</v>
      </c>
      <c r="AF39" s="62">
        <f>'Detailed Financials'!AF111</f>
        <v>-111684.02903131564</v>
      </c>
      <c r="AG39" s="62">
        <f>'Detailed Financials'!AG111</f>
        <v>-121477.27136758677</v>
      </c>
      <c r="AH39" s="62">
        <f>'Detailed Financials'!AH111</f>
        <v>-126558.30958239356</v>
      </c>
      <c r="AI39" s="62">
        <f>'Detailed Financials'!AI111</f>
        <v>-137644.36169868585</v>
      </c>
      <c r="AJ39" s="62">
        <f>'Detailed Financials'!AJ111</f>
        <v>-149790.8055301095</v>
      </c>
      <c r="AK39" s="62">
        <f>'Detailed Financials'!AK111</f>
        <v>-156037.33606991582</v>
      </c>
      <c r="AL39" s="62">
        <f>'Detailed Financials'!AL111</f>
        <v>-169714.56595194899</v>
      </c>
      <c r="AM39" s="62">
        <f>'Detailed Financials'!AM111</f>
        <v>-184644.74458752148</v>
      </c>
      <c r="AN39" s="62">
        <f>'Detailed Financials'!AN111</f>
        <v>-192496.66327952777</v>
      </c>
      <c r="AO39" s="62">
        <f>'Detailed Financials'!AO111</f>
        <v>-209534.75531033997</v>
      </c>
      <c r="AP39" s="62">
        <f>'Detailed Financials'!AP111</f>
        <v>-228053.44809616797</v>
      </c>
      <c r="AQ39" s="62">
        <f>'Detailed Financials'!AQ111</f>
        <v>-237690.92096383771</v>
      </c>
      <c r="AR39" s="62">
        <f>'Detailed Financials'!AR111</f>
        <v>-258872.78018638509</v>
      </c>
      <c r="AS39" s="62">
        <f>'Detailed Financials'!AS111</f>
        <v>-281983.95307098515</v>
      </c>
      <c r="AT39" s="62">
        <f>'Detailed Financials'!AT111</f>
        <v>-293910.14515583386</v>
      </c>
      <c r="AU39" s="62">
        <f>'Detailed Financials'!AU111</f>
        <v>-320223.82901929168</v>
      </c>
      <c r="AV39" s="62">
        <f>'Detailed Financials'!AV111</f>
        <v>-348975.30026301619</v>
      </c>
      <c r="AW39" s="62">
        <f>'Detailed Financials'!AW111</f>
        <v>-363890.05911840766</v>
      </c>
      <c r="AX39" s="62">
        <f>'Detailed Financials'!AX111</f>
        <v>-396598.64194919489</v>
      </c>
      <c r="AY39" s="62">
        <f>'Detailed Financials'!AY111</f>
        <v>-432349.66845510877</v>
      </c>
      <c r="AZ39" s="62">
        <f>'Detailed Financials'!AZ111</f>
        <v>-450836.34226639959</v>
      </c>
      <c r="BA39" s="62">
        <f>'Detailed Financials'!BA111</f>
        <v>-491533.24535191141</v>
      </c>
      <c r="BB39" s="62">
        <f>'Detailed Financials'!BB111</f>
        <v>-536047.77198344166</v>
      </c>
      <c r="BC39" s="62">
        <f>'Detailed Financials'!BC111</f>
        <v>-559014.26979415934</v>
      </c>
      <c r="BD39" s="62">
        <f>'Detailed Financials'!BD111</f>
        <v>-609687.57563975011</v>
      </c>
      <c r="BE39" s="62">
        <f>'Detailed Financials'!BE111</f>
        <v>-665049.9386174588</v>
      </c>
      <c r="BF39" s="62">
        <f>'Detailed Financials'!BF111</f>
        <v>-693604.68465642154</v>
      </c>
      <c r="BG39" s="62">
        <f>'Detailed Financials'!BG111</f>
        <v>-756812.04714608868</v>
      </c>
      <c r="BH39" s="62">
        <f>'Detailed Financials'!BH111</f>
        <v>-825864.73922799423</v>
      </c>
      <c r="BI39" s="62">
        <f>'Detailed Financials'!BI111</f>
        <v>-861344.05353681929</v>
      </c>
      <c r="BJ39" s="62">
        <f>'Detailed Financials'!BJ111</f>
        <v>-940135.22052162571</v>
      </c>
      <c r="BK39" s="62">
        <f>'Detailed Financials'!BK111</f>
        <v>-1026239.1119676207</v>
      </c>
      <c r="BL39" s="62">
        <f>'Detailed Financials'!BL111</f>
        <v>-1070371.0347804485</v>
      </c>
      <c r="BM39" s="62">
        <f>'Detailed Financials'!BM111</f>
        <v>-1168625.3861613523</v>
      </c>
      <c r="BN39" s="62">
        <f>'Detailed Financials'!BN111</f>
        <v>-1276110.8148386166</v>
      </c>
    </row>
    <row r="40" spans="3:66" x14ac:dyDescent="0.3">
      <c r="C40" t="s">
        <v>81</v>
      </c>
      <c r="G40" s="62">
        <f>'Detailed Financials'!G112</f>
        <v>-14000</v>
      </c>
      <c r="H40" s="62">
        <f>'Detailed Financials'!H112</f>
        <v>-14000</v>
      </c>
      <c r="I40" s="62">
        <f>'Detailed Financials'!I112</f>
        <v>-14000</v>
      </c>
      <c r="J40" s="62">
        <f>'Detailed Financials'!J112</f>
        <v>-14000</v>
      </c>
      <c r="K40" s="62">
        <f>'Detailed Financials'!K112</f>
        <v>-14000</v>
      </c>
      <c r="L40" s="62">
        <f>'Detailed Financials'!L112</f>
        <v>-14000</v>
      </c>
      <c r="M40" s="62">
        <f>'Detailed Financials'!M112</f>
        <v>-14000</v>
      </c>
      <c r="N40" s="62">
        <f>'Detailed Financials'!N112</f>
        <v>-14000</v>
      </c>
      <c r="O40" s="62">
        <f>'Detailed Financials'!O112</f>
        <v>-14000</v>
      </c>
      <c r="P40" s="62">
        <f>'Detailed Financials'!P112</f>
        <v>-14000</v>
      </c>
      <c r="Q40" s="62">
        <f>'Detailed Financials'!Q112</f>
        <v>-14000</v>
      </c>
      <c r="R40" s="62">
        <f>'Detailed Financials'!R112</f>
        <v>-14000</v>
      </c>
      <c r="S40" s="62">
        <f>'Detailed Financials'!S112</f>
        <v>-14000</v>
      </c>
      <c r="T40" s="62">
        <f>'Detailed Financials'!T112</f>
        <v>-14000</v>
      </c>
      <c r="U40" s="62">
        <f>'Detailed Financials'!U112</f>
        <v>-14000</v>
      </c>
      <c r="V40" s="62">
        <f>'Detailed Financials'!V112</f>
        <v>-14000</v>
      </c>
      <c r="W40" s="62">
        <f>'Detailed Financials'!W112</f>
        <v>-14000</v>
      </c>
      <c r="X40" s="62">
        <f>'Detailed Financials'!X112</f>
        <v>-14000</v>
      </c>
      <c r="Y40" s="62">
        <f>'Detailed Financials'!Y112</f>
        <v>-14000</v>
      </c>
      <c r="Z40" s="62">
        <f>'Detailed Financials'!Z112</f>
        <v>-14000</v>
      </c>
      <c r="AA40" s="62">
        <f>'Detailed Financials'!AA112</f>
        <v>-14000</v>
      </c>
      <c r="AB40" s="62">
        <f>'Detailed Financials'!AB112</f>
        <v>-14000</v>
      </c>
      <c r="AC40" s="62">
        <f>'Detailed Financials'!AC112</f>
        <v>-14000</v>
      </c>
      <c r="AD40" s="62">
        <f>'Detailed Financials'!AD112</f>
        <v>-28000</v>
      </c>
      <c r="AE40" s="62">
        <f>'Detailed Financials'!AE112</f>
        <v>-28000</v>
      </c>
      <c r="AF40" s="62">
        <f>'Detailed Financials'!AF112</f>
        <v>-28000</v>
      </c>
      <c r="AG40" s="62">
        <f>'Detailed Financials'!AG112</f>
        <v>-28000</v>
      </c>
      <c r="AH40" s="62">
        <f>'Detailed Financials'!AH112</f>
        <v>-28000</v>
      </c>
      <c r="AI40" s="62">
        <f>'Detailed Financials'!AI112</f>
        <v>-28000</v>
      </c>
      <c r="AJ40" s="62">
        <f>'Detailed Financials'!AJ112</f>
        <v>-28000</v>
      </c>
      <c r="AK40" s="62">
        <f>'Detailed Financials'!AK112</f>
        <v>-28000</v>
      </c>
      <c r="AL40" s="62">
        <f>'Detailed Financials'!AL112</f>
        <v>-28000</v>
      </c>
      <c r="AM40" s="62">
        <f>'Detailed Financials'!AM112</f>
        <v>-28000</v>
      </c>
      <c r="AN40" s="62">
        <f>'Detailed Financials'!AN112</f>
        <v>-28000</v>
      </c>
      <c r="AO40" s="62">
        <f>'Detailed Financials'!AO112</f>
        <v>-28000</v>
      </c>
      <c r="AP40" s="62">
        <f>'Detailed Financials'!AP112</f>
        <v>-28000</v>
      </c>
      <c r="AQ40" s="62">
        <f>'Detailed Financials'!AQ112</f>
        <v>-28000</v>
      </c>
      <c r="AR40" s="62">
        <f>'Detailed Financials'!AR112</f>
        <v>-28000</v>
      </c>
      <c r="AS40" s="62">
        <f>'Detailed Financials'!AS112</f>
        <v>-28000</v>
      </c>
      <c r="AT40" s="62">
        <f>'Detailed Financials'!AT112</f>
        <v>-28000</v>
      </c>
      <c r="AU40" s="62">
        <f>'Detailed Financials'!AU112</f>
        <v>-28000</v>
      </c>
      <c r="AV40" s="62">
        <f>'Detailed Financials'!AV112</f>
        <v>-28000</v>
      </c>
      <c r="AW40" s="62">
        <f>'Detailed Financials'!AW112</f>
        <v>-28000</v>
      </c>
      <c r="AX40" s="62">
        <f>'Detailed Financials'!AX112</f>
        <v>-28000</v>
      </c>
      <c r="AY40" s="62">
        <f>'Detailed Financials'!AY112</f>
        <v>-28000</v>
      </c>
      <c r="AZ40" s="62">
        <f>'Detailed Financials'!AZ112</f>
        <v>-28000</v>
      </c>
      <c r="BA40" s="62">
        <f>'Detailed Financials'!BA112</f>
        <v>-28000</v>
      </c>
      <c r="BB40" s="62">
        <f>'Detailed Financials'!BB112</f>
        <v>-28000</v>
      </c>
      <c r="BC40" s="62">
        <f>'Detailed Financials'!BC112</f>
        <v>-28000</v>
      </c>
      <c r="BD40" s="62">
        <f>'Detailed Financials'!BD112</f>
        <v>-28000</v>
      </c>
      <c r="BE40" s="62">
        <f>'Detailed Financials'!BE112</f>
        <v>-28000</v>
      </c>
      <c r="BF40" s="62">
        <f>'Detailed Financials'!BF112</f>
        <v>-28000</v>
      </c>
      <c r="BG40" s="62">
        <f>'Detailed Financials'!BG112</f>
        <v>-28000</v>
      </c>
      <c r="BH40" s="62">
        <f>'Detailed Financials'!BH112</f>
        <v>-28000</v>
      </c>
      <c r="BI40" s="62">
        <f>'Detailed Financials'!BI112</f>
        <v>-28000</v>
      </c>
      <c r="BJ40" s="62">
        <f>'Detailed Financials'!BJ112</f>
        <v>-28000</v>
      </c>
      <c r="BK40" s="62">
        <f>'Detailed Financials'!BK112</f>
        <v>-28000</v>
      </c>
      <c r="BL40" s="62">
        <f>'Detailed Financials'!BL112</f>
        <v>-28000</v>
      </c>
      <c r="BM40" s="62">
        <f>'Detailed Financials'!BM112</f>
        <v>-28000</v>
      </c>
      <c r="BN40" s="62">
        <f>'Detailed Financials'!BN112</f>
        <v>-28000</v>
      </c>
    </row>
    <row r="41" spans="3:66" x14ac:dyDescent="0.3">
      <c r="C41" t="s">
        <v>95</v>
      </c>
      <c r="G41" s="62">
        <f>'Detailed Financials'!G113</f>
        <v>-210.625</v>
      </c>
      <c r="H41" s="62">
        <f>'Detailed Financials'!H113</f>
        <v>-419.25</v>
      </c>
      <c r="I41" s="62">
        <f>'Detailed Financials'!I113</f>
        <v>-630.375</v>
      </c>
      <c r="J41" s="62">
        <f>'Detailed Financials'!J113</f>
        <v>-844</v>
      </c>
      <c r="K41" s="62">
        <f>'Detailed Financials'!K113</f>
        <v>-1064.5</v>
      </c>
      <c r="L41" s="62">
        <f>'Detailed Financials'!L113</f>
        <v>-1293.375</v>
      </c>
      <c r="M41" s="62">
        <f>'Detailed Financials'!M113</f>
        <v>-1533.625</v>
      </c>
      <c r="N41" s="62">
        <f>'Detailed Financials'!N113</f>
        <v>-1786.625</v>
      </c>
      <c r="O41" s="62">
        <f>'Detailed Financials'!O113</f>
        <v>-2055.375</v>
      </c>
      <c r="P41" s="62">
        <f>'Detailed Financials'!P113</f>
        <v>-2341.25</v>
      </c>
      <c r="Q41" s="62">
        <f>'Detailed Financials'!Q113</f>
        <v>-2645.75</v>
      </c>
      <c r="R41" s="62">
        <f>'Detailed Financials'!R113</f>
        <v>-2971.75</v>
      </c>
      <c r="S41" s="62">
        <f>'Detailed Financials'!S113</f>
        <v>-3297.625</v>
      </c>
      <c r="T41" s="62">
        <f>'Detailed Financials'!T113</f>
        <v>-3648.125</v>
      </c>
      <c r="U41" s="62">
        <f>'Detailed Financials'!U113</f>
        <v>-4026.125</v>
      </c>
      <c r="V41" s="62">
        <f>'Detailed Financials'!V113</f>
        <v>-4436</v>
      </c>
      <c r="W41" s="62">
        <f>'Detailed Financials'!W113</f>
        <v>-4879.25</v>
      </c>
      <c r="X41" s="62">
        <f>'Detailed Financials'!X113</f>
        <v>-5358.875</v>
      </c>
      <c r="Y41" s="62">
        <f>'Detailed Financials'!Y113</f>
        <v>-5879.25</v>
      </c>
      <c r="Z41" s="62">
        <f>'Detailed Financials'!Z113</f>
        <v>-6444.75</v>
      </c>
      <c r="AA41" s="62">
        <f>'Detailed Financials'!AA113</f>
        <v>-7058.25</v>
      </c>
      <c r="AB41" s="62">
        <f>'Detailed Financials'!AB113</f>
        <v>-7727.125</v>
      </c>
      <c r="AC41" s="62">
        <f>'Detailed Financials'!AC113</f>
        <v>-8454.375</v>
      </c>
      <c r="AD41" s="62">
        <f>'Detailed Financials'!AD113</f>
        <v>-9242.875</v>
      </c>
      <c r="AE41" s="62">
        <f>'Detailed Financials'!AE113</f>
        <v>-10053.375</v>
      </c>
      <c r="AF41" s="62">
        <f>'Detailed Financials'!AF113</f>
        <v>-10935.625</v>
      </c>
      <c r="AG41" s="62">
        <f>'Detailed Financials'!AG113</f>
        <v>-11897</v>
      </c>
      <c r="AH41" s="62">
        <f>'Detailed Financials'!AH113</f>
        <v>-12946.375</v>
      </c>
      <c r="AI41" s="62">
        <f>'Detailed Financials'!AI113</f>
        <v>-14088.125</v>
      </c>
      <c r="AJ41" s="62">
        <f>'Detailed Financials'!AJ113</f>
        <v>-15334</v>
      </c>
      <c r="AK41" s="62">
        <f>'Detailed Financials'!AK113</f>
        <v>-16692.875</v>
      </c>
      <c r="AL41" s="62">
        <f>'Detailed Financials'!AL113</f>
        <v>-18173.75</v>
      </c>
      <c r="AM41" s="62">
        <f>'Detailed Financials'!AM113</f>
        <v>-19788.375</v>
      </c>
      <c r="AN41" s="62">
        <f>'Detailed Financials'!AN113</f>
        <v>-21548.5</v>
      </c>
      <c r="AO41" s="62">
        <f>'Detailed Financials'!AO113</f>
        <v>-23471.75</v>
      </c>
      <c r="AP41" s="62">
        <f>'Detailed Financials'!AP113</f>
        <v>-25570.125</v>
      </c>
      <c r="AQ41" s="62">
        <f>'Detailed Financials'!AQ113</f>
        <v>-27858.5</v>
      </c>
      <c r="AR41" s="62">
        <f>'Detailed Financials'!AR113</f>
        <v>-30358.875</v>
      </c>
      <c r="AS41" s="62">
        <f>'Detailed Financials'!AS113</f>
        <v>-33090.5</v>
      </c>
      <c r="AT41" s="62">
        <f>'Detailed Financials'!AT113</f>
        <v>-36071.25</v>
      </c>
      <c r="AU41" s="62">
        <f>'Detailed Financials'!AU113</f>
        <v>-39329.125</v>
      </c>
      <c r="AV41" s="62">
        <f>'Detailed Financials'!AV113</f>
        <v>-42889.25</v>
      </c>
      <c r="AW41" s="62">
        <f>'Detailed Financials'!AW113</f>
        <v>-46779.875</v>
      </c>
      <c r="AX41" s="62">
        <f>'Detailed Financials'!AX113</f>
        <v>-51033.5</v>
      </c>
      <c r="AY41" s="62">
        <f>'Detailed Financials'!AY113</f>
        <v>-55682.75</v>
      </c>
      <c r="AZ41" s="62">
        <f>'Detailed Financials'!AZ113</f>
        <v>-60763.25</v>
      </c>
      <c r="BA41" s="62">
        <f>'Detailed Financials'!BA113</f>
        <v>-66318</v>
      </c>
      <c r="BB41" s="62">
        <f>'Detailed Financials'!BB113</f>
        <v>-72392.875</v>
      </c>
      <c r="BC41" s="62">
        <f>'Detailed Financials'!BC113</f>
        <v>-79036.875</v>
      </c>
      <c r="BD41" s="62">
        <f>'Detailed Financials'!BD113</f>
        <v>-86305</v>
      </c>
      <c r="BE41" s="62">
        <f>'Detailed Financials'!BE113</f>
        <v>-94252.25</v>
      </c>
      <c r="BF41" s="62">
        <f>'Detailed Financials'!BF113</f>
        <v>-102948.125</v>
      </c>
      <c r="BG41" s="62">
        <f>'Detailed Financials'!BG113</f>
        <v>-112462.625</v>
      </c>
      <c r="BH41" s="62">
        <f>'Detailed Financials'!BH113</f>
        <v>-122874.5</v>
      </c>
      <c r="BI41" s="62">
        <f>'Detailed Financials'!BI113</f>
        <v>-134268.375</v>
      </c>
      <c r="BJ41" s="62">
        <f>'Detailed Financials'!BJ113</f>
        <v>-146740.875</v>
      </c>
      <c r="BK41" s="62">
        <f>'Detailed Financials'!BK113</f>
        <v>-160393.125</v>
      </c>
      <c r="BL41" s="62">
        <f>'Detailed Financials'!BL113</f>
        <v>-175336.75</v>
      </c>
      <c r="BM41" s="62">
        <f>'Detailed Financials'!BM113</f>
        <v>-191696.625</v>
      </c>
      <c r="BN41" s="62">
        <f>'Detailed Financials'!BN113</f>
        <v>-209611</v>
      </c>
    </row>
    <row r="42" spans="3:66" x14ac:dyDescent="0.3">
      <c r="C42" s="44" t="s">
        <v>54</v>
      </c>
      <c r="D42" s="11"/>
      <c r="E42" s="11"/>
      <c r="F42" s="11"/>
      <c r="G42" s="55">
        <f>SUM(G37:G41)</f>
        <v>-88421.25</v>
      </c>
      <c r="H42" s="55">
        <f t="shared" ref="H42:AD42" si="230">SUM(H37:H41)</f>
        <v>-90538.5</v>
      </c>
      <c r="I42" s="55">
        <f t="shared" si="230"/>
        <v>-92760.75</v>
      </c>
      <c r="J42" s="55">
        <f t="shared" si="230"/>
        <v>-112086</v>
      </c>
      <c r="K42" s="55">
        <f t="shared" si="230"/>
        <v>-114637</v>
      </c>
      <c r="L42" s="55">
        <f t="shared" si="230"/>
        <v>-117299.75</v>
      </c>
      <c r="M42" s="55">
        <f t="shared" si="230"/>
        <v>-142938.01</v>
      </c>
      <c r="N42" s="55">
        <f t="shared" si="230"/>
        <v>-146017.09</v>
      </c>
      <c r="O42" s="55">
        <f t="shared" si="230"/>
        <v>-149308.16999999998</v>
      </c>
      <c r="P42" s="55">
        <f t="shared" si="230"/>
        <v>-187380.5821</v>
      </c>
      <c r="Q42" s="55">
        <f t="shared" si="230"/>
        <v>-191067.8118</v>
      </c>
      <c r="R42" s="55">
        <f t="shared" si="230"/>
        <v>-201152.05109999998</v>
      </c>
      <c r="S42" s="55">
        <f t="shared" si="230"/>
        <v>-225921.03856300001</v>
      </c>
      <c r="T42" s="55">
        <f t="shared" si="230"/>
        <v>-230496.18312100001</v>
      </c>
      <c r="U42" s="55">
        <f t="shared" si="230"/>
        <v>-235370.679554</v>
      </c>
      <c r="V42" s="55">
        <f t="shared" si="230"/>
        <v>-281831.67763128004</v>
      </c>
      <c r="W42" s="55">
        <f t="shared" si="230"/>
        <v>-287547.76005032001</v>
      </c>
      <c r="X42" s="55">
        <f t="shared" si="230"/>
        <v>-293568.72675060999</v>
      </c>
      <c r="Y42" s="55">
        <f t="shared" si="230"/>
        <v>-323253.1623036713</v>
      </c>
      <c r="Z42" s="55">
        <f t="shared" si="230"/>
        <v>-348225.34896961169</v>
      </c>
      <c r="AA42" s="55">
        <f t="shared" si="230"/>
        <v>-355827.67598185042</v>
      </c>
      <c r="AB42" s="55">
        <f t="shared" si="230"/>
        <v>-387437.36537147267</v>
      </c>
      <c r="AC42" s="55">
        <f t="shared" si="230"/>
        <v>-414156.27035860042</v>
      </c>
      <c r="AD42" s="55">
        <f t="shared" si="230"/>
        <v>-444058.27429234062</v>
      </c>
      <c r="AE42" s="55">
        <f t="shared" ref="AE42:BN42" si="231">SUM(AE37:AE41)</f>
        <v>-469576.96375509218</v>
      </c>
      <c r="AF42" s="55">
        <f t="shared" si="231"/>
        <v>-504380.87903131562</v>
      </c>
      <c r="AG42" s="55">
        <f t="shared" si="231"/>
        <v>-522096.87136758678</v>
      </c>
      <c r="AH42" s="55">
        <f t="shared" si="231"/>
        <v>-574751.85958239355</v>
      </c>
      <c r="AI42" s="55">
        <f t="shared" si="231"/>
        <v>-588121.41169868584</v>
      </c>
      <c r="AJ42" s="55">
        <f t="shared" si="231"/>
        <v>-626759.60553010949</v>
      </c>
      <c r="AK42" s="55">
        <f t="shared" si="231"/>
        <v>-679797.48606991582</v>
      </c>
      <c r="AL42" s="55">
        <f t="shared" si="231"/>
        <v>-703876.46595194901</v>
      </c>
      <c r="AM42" s="55">
        <f t="shared" si="231"/>
        <v>-752035.89458752144</v>
      </c>
      <c r="AN42" s="55">
        <f t="shared" si="231"/>
        <v>-807558.46327952784</v>
      </c>
      <c r="AO42" s="55">
        <f t="shared" si="231"/>
        <v>-853883.05531034002</v>
      </c>
      <c r="AP42" s="55">
        <f t="shared" si="231"/>
        <v>-907116.89809616795</v>
      </c>
      <c r="AQ42" s="55">
        <f t="shared" si="231"/>
        <v>-964913.96896383772</v>
      </c>
      <c r="AR42" s="55">
        <f t="shared" si="231"/>
        <v>-1023016.5781863851</v>
      </c>
      <c r="AS42" s="55">
        <f t="shared" si="231"/>
        <v>-1082071.0010709851</v>
      </c>
      <c r="AT42" s="55">
        <f t="shared" si="231"/>
        <v>-1169596.7091558338</v>
      </c>
      <c r="AU42" s="55">
        <f t="shared" si="231"/>
        <v>-1238426.1430192916</v>
      </c>
      <c r="AV42" s="55">
        <f t="shared" si="231"/>
        <v>-1324217.8642630163</v>
      </c>
      <c r="AW42" s="55">
        <f t="shared" si="231"/>
        <v>-1422439.7611184076</v>
      </c>
      <c r="AX42" s="55">
        <f t="shared" si="231"/>
        <v>-1518250.793949195</v>
      </c>
      <c r="AY42" s="55">
        <f t="shared" si="231"/>
        <v>-1619700.3204551088</v>
      </c>
      <c r="AZ42" s="55">
        <f t="shared" si="231"/>
        <v>-1747880.0262663995</v>
      </c>
      <c r="BA42" s="55">
        <f t="shared" si="231"/>
        <v>-1861721.6293519116</v>
      </c>
      <c r="BB42" s="55">
        <f t="shared" si="231"/>
        <v>-1998827.3779834416</v>
      </c>
      <c r="BC42" s="55">
        <f t="shared" si="231"/>
        <v>-2140568.5036341595</v>
      </c>
      <c r="BD42" s="55">
        <f t="shared" si="231"/>
        <v>-2310331.6594797503</v>
      </c>
      <c r="BE42" s="55">
        <f t="shared" si="231"/>
        <v>-2486026.9224574589</v>
      </c>
      <c r="BF42" s="55">
        <f t="shared" si="231"/>
        <v>-2669544.4597764215</v>
      </c>
      <c r="BG42" s="55">
        <f t="shared" si="231"/>
        <v>-2862660.8222660888</v>
      </c>
      <c r="BH42" s="55">
        <f t="shared" si="231"/>
        <v>-3094530.8643479943</v>
      </c>
      <c r="BI42" s="55">
        <f t="shared" si="231"/>
        <v>-3332839.9996968196</v>
      </c>
      <c r="BJ42" s="55">
        <f t="shared" si="231"/>
        <v>-3596943.7826816258</v>
      </c>
      <c r="BK42" s="55">
        <f t="shared" si="231"/>
        <v>-3882864.1741276206</v>
      </c>
      <c r="BL42" s="55">
        <f t="shared" si="231"/>
        <v>-4186845.909500448</v>
      </c>
      <c r="BM42" s="55">
        <f t="shared" si="231"/>
        <v>-4538782.8268813528</v>
      </c>
      <c r="BN42" s="55">
        <f t="shared" si="231"/>
        <v>-4904532.3233186174</v>
      </c>
    </row>
    <row r="43" spans="3:66" ht="3" customHeight="1" x14ac:dyDescent="0.3"/>
    <row r="44" spans="3:66" x14ac:dyDescent="0.3">
      <c r="C44" s="35" t="s">
        <v>150</v>
      </c>
      <c r="D44" s="47"/>
      <c r="E44" s="47"/>
      <c r="F44" s="40"/>
      <c r="G44" s="40">
        <f t="shared" ref="G44:AD44" si="232">G34+G42</f>
        <v>-84882.75</v>
      </c>
      <c r="H44" s="40">
        <f t="shared" si="232"/>
        <v>-83495.100000000006</v>
      </c>
      <c r="I44" s="40">
        <f t="shared" si="232"/>
        <v>-82170.45</v>
      </c>
      <c r="J44" s="40">
        <f t="shared" si="232"/>
        <v>-97906.8</v>
      </c>
      <c r="K44" s="40">
        <f t="shared" si="232"/>
        <v>-96753.4</v>
      </c>
      <c r="L44" s="40">
        <f t="shared" si="232"/>
        <v>-95571.05</v>
      </c>
      <c r="M44" s="40">
        <f t="shared" si="232"/>
        <v>-117173.11000000002</v>
      </c>
      <c r="N44" s="40">
        <f t="shared" si="232"/>
        <v>-116001.79</v>
      </c>
      <c r="O44" s="40">
        <f t="shared" si="232"/>
        <v>-114777.86999999998</v>
      </c>
      <c r="P44" s="40">
        <f t="shared" si="232"/>
        <v>-148047.5821</v>
      </c>
      <c r="Q44" s="40">
        <f t="shared" si="232"/>
        <v>-146619.21179999999</v>
      </c>
      <c r="R44" s="40">
        <f t="shared" si="232"/>
        <v>-151226.65109999999</v>
      </c>
      <c r="S44" s="40">
        <f t="shared" si="232"/>
        <v>-170191.17606299999</v>
      </c>
      <c r="T44" s="40">
        <f t="shared" si="232"/>
        <v>-168842.87062100001</v>
      </c>
      <c r="U44" s="40">
        <f t="shared" si="232"/>
        <v>-167329.16705400002</v>
      </c>
      <c r="V44" s="40">
        <f t="shared" si="232"/>
        <v>-206863.27763128004</v>
      </c>
      <c r="W44" s="40">
        <f t="shared" si="232"/>
        <v>-205088.43505032</v>
      </c>
      <c r="X44" s="40">
        <f t="shared" si="232"/>
        <v>-203003.73925061</v>
      </c>
      <c r="Y44" s="40">
        <f t="shared" si="232"/>
        <v>-223893.83730367129</v>
      </c>
      <c r="Z44" s="40">
        <f t="shared" si="232"/>
        <v>-239309.07396961169</v>
      </c>
      <c r="AA44" s="40">
        <f t="shared" si="232"/>
        <v>-236543.25098185043</v>
      </c>
      <c r="AB44" s="40">
        <f t="shared" si="232"/>
        <v>-256848.95287147266</v>
      </c>
      <c r="AC44" s="40">
        <f t="shared" si="232"/>
        <v>-271277.33285860042</v>
      </c>
      <c r="AD44" s="40">
        <f t="shared" si="232"/>
        <v>-287853.6867923406</v>
      </c>
      <c r="AE44" s="40">
        <f t="shared" ref="AE44:BN44" si="233">AE34+AE42</f>
        <v>-298669.58875509218</v>
      </c>
      <c r="AF44" s="40">
        <f t="shared" si="233"/>
        <v>-318475.25403131562</v>
      </c>
      <c r="AG44" s="40">
        <f t="shared" si="233"/>
        <v>-319847.87136758678</v>
      </c>
      <c r="AH44" s="40">
        <f t="shared" si="233"/>
        <v>-354663.48458239355</v>
      </c>
      <c r="AI44" s="40">
        <f t="shared" si="233"/>
        <v>-348623.28669868584</v>
      </c>
      <c r="AJ44" s="40">
        <f t="shared" si="233"/>
        <v>-366081.60553010949</v>
      </c>
      <c r="AK44" s="40">
        <f t="shared" si="233"/>
        <v>-396018.61106991582</v>
      </c>
      <c r="AL44" s="40">
        <f t="shared" si="233"/>
        <v>-394922.71595194901</v>
      </c>
      <c r="AM44" s="40">
        <f t="shared" si="233"/>
        <v>-415633.51958752144</v>
      </c>
      <c r="AN44" s="40">
        <f t="shared" si="233"/>
        <v>-441233.96327952784</v>
      </c>
      <c r="AO44" s="40">
        <f t="shared" si="233"/>
        <v>-454863.30531034002</v>
      </c>
      <c r="AP44" s="40">
        <f t="shared" si="233"/>
        <v>-472424.77309616795</v>
      </c>
      <c r="AQ44" s="40">
        <f t="shared" si="233"/>
        <v>-488533.61896383774</v>
      </c>
      <c r="AR44" s="40">
        <f t="shared" si="233"/>
        <v>-503879.81568638509</v>
      </c>
      <c r="AS44" s="40">
        <f t="shared" si="233"/>
        <v>-516223.45107098506</v>
      </c>
      <c r="AT44" s="40">
        <f t="shared" si="233"/>
        <v>-552778.33415583381</v>
      </c>
      <c r="AU44" s="40">
        <f t="shared" si="233"/>
        <v>-565898.1055192916</v>
      </c>
      <c r="AV44" s="40">
        <f t="shared" si="233"/>
        <v>-590811.68926301622</v>
      </c>
      <c r="AW44" s="40">
        <f t="shared" si="233"/>
        <v>-622503.89861840755</v>
      </c>
      <c r="AX44" s="40">
        <f t="shared" si="233"/>
        <v>-645577.94394919497</v>
      </c>
      <c r="AY44" s="40">
        <f t="shared" si="233"/>
        <v>-667525.29545510875</v>
      </c>
      <c r="AZ44" s="40">
        <f t="shared" si="233"/>
        <v>-708828.45126639958</v>
      </c>
      <c r="BA44" s="40">
        <f t="shared" si="233"/>
        <v>-727683.82935191155</v>
      </c>
      <c r="BB44" s="40">
        <f t="shared" si="233"/>
        <v>-760909.21548344148</v>
      </c>
      <c r="BC44" s="40">
        <f t="shared" si="233"/>
        <v>-781134.25363415945</v>
      </c>
      <c r="BD44" s="40">
        <f t="shared" si="233"/>
        <v>-825885.65947975032</v>
      </c>
      <c r="BE44" s="40">
        <f t="shared" si="233"/>
        <v>-864888.22245745896</v>
      </c>
      <c r="BF44" s="40">
        <f t="shared" si="233"/>
        <v>-898836.70977642154</v>
      </c>
      <c r="BG44" s="40">
        <f t="shared" si="233"/>
        <v>-928303.67226608889</v>
      </c>
      <c r="BH44" s="40">
        <f t="shared" si="233"/>
        <v>-981089.46434799442</v>
      </c>
      <c r="BI44" s="40">
        <f t="shared" si="233"/>
        <v>-1023423.9496968198</v>
      </c>
      <c r="BJ44" s="40">
        <f t="shared" si="233"/>
        <v>-1073000.732681626</v>
      </c>
      <c r="BK44" s="40">
        <f t="shared" si="233"/>
        <v>-1124102.4241276206</v>
      </c>
      <c r="BL44" s="40">
        <f t="shared" si="233"/>
        <v>-1171053.8095004479</v>
      </c>
      <c r="BM44" s="40">
        <f t="shared" si="233"/>
        <v>-1241600.8768813526</v>
      </c>
      <c r="BN44" s="40">
        <f t="shared" si="233"/>
        <v>-1299223.1233186172</v>
      </c>
    </row>
    <row r="45" spans="3:66" x14ac:dyDescent="0.3">
      <c r="C45" s="25" t="s">
        <v>73</v>
      </c>
      <c r="G45" s="69">
        <f>G44/G$29</f>
        <v>-20.150207715133533</v>
      </c>
      <c r="H45" s="69">
        <f t="shared" ref="H45:AD45" si="234">H44/H$29</f>
        <v>-9.9576744186046522</v>
      </c>
      <c r="I45" s="69">
        <f t="shared" si="234"/>
        <v>-6.5175847709696608</v>
      </c>
      <c r="J45" s="69">
        <f t="shared" si="234"/>
        <v>-5.8001658767772515</v>
      </c>
      <c r="K45" s="69">
        <f t="shared" si="234"/>
        <v>-4.5445467355565992</v>
      </c>
      <c r="L45" s="69">
        <f t="shared" si="234"/>
        <v>-3.6946380593408721</v>
      </c>
      <c r="M45" s="69">
        <f t="shared" si="234"/>
        <v>-3.8201356263754183</v>
      </c>
      <c r="N45" s="69">
        <f t="shared" si="234"/>
        <v>-3.2463944588259985</v>
      </c>
      <c r="O45" s="69">
        <f t="shared" si="234"/>
        <v>-2.7921393906221486</v>
      </c>
      <c r="P45" s="69">
        <f t="shared" si="234"/>
        <v>-3.1617209204484782</v>
      </c>
      <c r="Q45" s="69">
        <f t="shared" si="234"/>
        <v>-2.7708440291032788</v>
      </c>
      <c r="R45" s="69">
        <f t="shared" si="234"/>
        <v>-2.5444039892319337</v>
      </c>
      <c r="S45" s="69">
        <f t="shared" si="234"/>
        <v>-2.5805113689852544</v>
      </c>
      <c r="T45" s="69">
        <f t="shared" si="234"/>
        <v>-2.3141047883638857</v>
      </c>
      <c r="U45" s="69">
        <f t="shared" si="234"/>
        <v>-2.0780423739203329</v>
      </c>
      <c r="V45" s="69">
        <f t="shared" si="234"/>
        <v>-2.3316419931388643</v>
      </c>
      <c r="W45" s="69">
        <f t="shared" si="234"/>
        <v>-2.1016389306791003</v>
      </c>
      <c r="X45" s="69">
        <f t="shared" si="234"/>
        <v>-1.8940891441824077</v>
      </c>
      <c r="Y45" s="69">
        <f t="shared" si="234"/>
        <v>-1.904102030902507</v>
      </c>
      <c r="Z45" s="69">
        <f t="shared" si="234"/>
        <v>-1.8566203031119259</v>
      </c>
      <c r="AA45" s="69">
        <f t="shared" si="234"/>
        <v>-1.6756508410856121</v>
      </c>
      <c r="AB45" s="69">
        <f t="shared" si="234"/>
        <v>-1.6619955861427935</v>
      </c>
      <c r="AC45" s="69">
        <f t="shared" si="234"/>
        <v>-1.604360658585646</v>
      </c>
      <c r="AD45" s="69">
        <f t="shared" si="234"/>
        <v>-1.5571653126994609</v>
      </c>
      <c r="AE45" s="69">
        <f t="shared" ref="AE45:BN45" si="235">AE44/AE$29</f>
        <v>-1.4854195171029241</v>
      </c>
      <c r="AF45" s="69">
        <f t="shared" si="235"/>
        <v>-1.4561364989715522</v>
      </c>
      <c r="AG45" s="69">
        <f t="shared" si="235"/>
        <v>-1.3442375025955569</v>
      </c>
      <c r="AH45" s="69">
        <f t="shared" si="235"/>
        <v>-1.3697405048996092</v>
      </c>
      <c r="AI45" s="69">
        <f t="shared" si="235"/>
        <v>-1.2372948376689086</v>
      </c>
      <c r="AJ45" s="69">
        <f t="shared" si="235"/>
        <v>-1.1936924661866097</v>
      </c>
      <c r="AK45" s="69">
        <f t="shared" si="235"/>
        <v>-1.1861905485721178</v>
      </c>
      <c r="AL45" s="69">
        <f t="shared" si="235"/>
        <v>-1.0865196119456606</v>
      </c>
      <c r="AM45" s="69">
        <f t="shared" si="235"/>
        <v>-1.0501961873764809</v>
      </c>
      <c r="AN45" s="69">
        <f t="shared" si="235"/>
        <v>-1.0238159576757728</v>
      </c>
      <c r="AO45" s="69">
        <f t="shared" si="235"/>
        <v>-0.96895907912776003</v>
      </c>
      <c r="AP45" s="69">
        <f t="shared" si="235"/>
        <v>-0.92378268212644232</v>
      </c>
      <c r="AQ45" s="69">
        <f t="shared" si="235"/>
        <v>-0.876812497018572</v>
      </c>
      <c r="AR45" s="69">
        <f t="shared" si="235"/>
        <v>-0.82987234488495554</v>
      </c>
      <c r="AS45" s="69">
        <f t="shared" si="235"/>
        <v>-0.7800176048578672</v>
      </c>
      <c r="AT45" s="69">
        <f t="shared" si="235"/>
        <v>-0.76623118710307214</v>
      </c>
      <c r="AU45" s="69">
        <f t="shared" si="235"/>
        <v>-0.71943897241458032</v>
      </c>
      <c r="AV45" s="69">
        <f t="shared" si="235"/>
        <v>-0.68876430488177831</v>
      </c>
      <c r="AW45" s="69">
        <f t="shared" si="235"/>
        <v>-0.66535438435695649</v>
      </c>
      <c r="AX45" s="69">
        <f t="shared" si="235"/>
        <v>-0.6325040845221227</v>
      </c>
      <c r="AY45" s="69">
        <f t="shared" si="235"/>
        <v>-0.59940043860541081</v>
      </c>
      <c r="AZ45" s="69">
        <f t="shared" si="235"/>
        <v>-0.58327068685957351</v>
      </c>
      <c r="BA45" s="69">
        <f t="shared" si="235"/>
        <v>-0.54863221851677646</v>
      </c>
      <c r="BB45" s="69">
        <f t="shared" si="235"/>
        <v>-0.52554150908044572</v>
      </c>
      <c r="BC45" s="69">
        <f t="shared" si="235"/>
        <v>-0.49415810887902606</v>
      </c>
      <c r="BD45" s="69">
        <f t="shared" si="235"/>
        <v>-0.47846918456621884</v>
      </c>
      <c r="BE45" s="69">
        <f t="shared" si="235"/>
        <v>-0.45881569005379658</v>
      </c>
      <c r="BF45" s="69">
        <f t="shared" si="235"/>
        <v>-0.43654836344830056</v>
      </c>
      <c r="BG45" s="69">
        <f t="shared" si="235"/>
        <v>-0.41271652349662341</v>
      </c>
      <c r="BH45" s="69">
        <f t="shared" si="235"/>
        <v>-0.39922419393283165</v>
      </c>
      <c r="BI45" s="69">
        <f t="shared" si="235"/>
        <v>-0.38111131891512789</v>
      </c>
      <c r="BJ45" s="69">
        <f t="shared" si="235"/>
        <v>-0.36561071776409471</v>
      </c>
      <c r="BK45" s="69">
        <f t="shared" si="235"/>
        <v>-0.35042101216234195</v>
      </c>
      <c r="BL45" s="69">
        <f t="shared" si="235"/>
        <v>-0.33394419866355685</v>
      </c>
      <c r="BM45" s="69">
        <f t="shared" si="235"/>
        <v>-0.32384526250301815</v>
      </c>
      <c r="BN45" s="69">
        <f t="shared" si="235"/>
        <v>-0.30991291566726392</v>
      </c>
    </row>
    <row r="47" spans="3:66" x14ac:dyDescent="0.3">
      <c r="C47" t="s">
        <v>106</v>
      </c>
      <c r="E47" s="63"/>
      <c r="G47" s="50">
        <f>'Detailed Financials'!G127</f>
        <v>0</v>
      </c>
      <c r="H47" s="50">
        <f>'Detailed Financials'!H127</f>
        <v>0</v>
      </c>
      <c r="I47" s="50">
        <f>'Detailed Financials'!I127</f>
        <v>0</v>
      </c>
      <c r="J47" s="50">
        <f>'Detailed Financials'!J127</f>
        <v>0</v>
      </c>
      <c r="K47" s="50">
        <f>'Detailed Financials'!K127</f>
        <v>0</v>
      </c>
      <c r="L47" s="50">
        <f>'Detailed Financials'!L127</f>
        <v>0</v>
      </c>
      <c r="M47" s="50">
        <f>'Detailed Financials'!M127</f>
        <v>0</v>
      </c>
      <c r="N47" s="50">
        <f>'Detailed Financials'!N127</f>
        <v>0</v>
      </c>
      <c r="O47" s="50">
        <f>'Detailed Financials'!O127</f>
        <v>0</v>
      </c>
      <c r="P47" s="50">
        <f>'Detailed Financials'!P127</f>
        <v>0</v>
      </c>
      <c r="Q47" s="50">
        <f>'Detailed Financials'!Q127</f>
        <v>0</v>
      </c>
      <c r="R47" s="50">
        <f>'Detailed Financials'!R127</f>
        <v>0</v>
      </c>
      <c r="S47" s="50">
        <f>'Detailed Financials'!S127</f>
        <v>0</v>
      </c>
      <c r="T47" s="50">
        <f>'Detailed Financials'!T127</f>
        <v>0</v>
      </c>
      <c r="U47" s="50">
        <f>'Detailed Financials'!U127</f>
        <v>0</v>
      </c>
      <c r="V47" s="50">
        <f>'Detailed Financials'!V127</f>
        <v>0</v>
      </c>
      <c r="W47" s="50">
        <f>'Detailed Financials'!W127</f>
        <v>0</v>
      </c>
      <c r="X47" s="50">
        <f>'Detailed Financials'!X127</f>
        <v>0</v>
      </c>
      <c r="Y47" s="50">
        <f>'Detailed Financials'!Y127</f>
        <v>0</v>
      </c>
      <c r="Z47" s="50">
        <f>'Detailed Financials'!Z127</f>
        <v>0</v>
      </c>
      <c r="AA47" s="50">
        <f>'Detailed Financials'!AA127</f>
        <v>0</v>
      </c>
      <c r="AB47" s="50">
        <f>'Detailed Financials'!AB127</f>
        <v>0</v>
      </c>
      <c r="AC47" s="50">
        <f>'Detailed Financials'!AC127</f>
        <v>0</v>
      </c>
      <c r="AD47" s="50">
        <f>'Detailed Financials'!AD127</f>
        <v>0</v>
      </c>
      <c r="AE47" s="50">
        <f>'Detailed Financials'!AE127</f>
        <v>0</v>
      </c>
      <c r="AF47" s="50">
        <f>'Detailed Financials'!AF127</f>
        <v>0</v>
      </c>
      <c r="AG47" s="50">
        <f>'Detailed Financials'!AG127</f>
        <v>0</v>
      </c>
      <c r="AH47" s="50">
        <f>'Detailed Financials'!AH127</f>
        <v>0</v>
      </c>
      <c r="AI47" s="50">
        <f>'Detailed Financials'!AI127</f>
        <v>0</v>
      </c>
      <c r="AJ47" s="50">
        <f>'Detailed Financials'!AJ127</f>
        <v>0</v>
      </c>
      <c r="AK47" s="50">
        <f>'Detailed Financials'!AK127</f>
        <v>0</v>
      </c>
      <c r="AL47" s="50">
        <f>'Detailed Financials'!AL127</f>
        <v>0</v>
      </c>
      <c r="AM47" s="50">
        <f>'Detailed Financials'!AM127</f>
        <v>0</v>
      </c>
      <c r="AN47" s="50">
        <f>'Detailed Financials'!AN127</f>
        <v>0</v>
      </c>
      <c r="AO47" s="50">
        <f>'Detailed Financials'!AO127</f>
        <v>0</v>
      </c>
      <c r="AP47" s="50">
        <f>'Detailed Financials'!AP127</f>
        <v>0</v>
      </c>
      <c r="AQ47" s="50">
        <f>'Detailed Financials'!AQ127</f>
        <v>0</v>
      </c>
      <c r="AR47" s="50">
        <f>'Detailed Financials'!AR127</f>
        <v>0</v>
      </c>
      <c r="AS47" s="50">
        <f>'Detailed Financials'!AS127</f>
        <v>0</v>
      </c>
      <c r="AT47" s="50">
        <f>'Detailed Financials'!AT127</f>
        <v>0</v>
      </c>
      <c r="AU47" s="50">
        <f>'Detailed Financials'!AU127</f>
        <v>0</v>
      </c>
      <c r="AV47" s="50">
        <f>'Detailed Financials'!AV127</f>
        <v>0</v>
      </c>
      <c r="AW47" s="50">
        <f>'Detailed Financials'!AW127</f>
        <v>0</v>
      </c>
      <c r="AX47" s="50">
        <f>'Detailed Financials'!AX127</f>
        <v>0</v>
      </c>
      <c r="AY47" s="50">
        <f>'Detailed Financials'!AY127</f>
        <v>0</v>
      </c>
      <c r="AZ47" s="50">
        <f>'Detailed Financials'!AZ127</f>
        <v>0</v>
      </c>
      <c r="BA47" s="50">
        <f>'Detailed Financials'!BA127</f>
        <v>0</v>
      </c>
      <c r="BB47" s="50">
        <f>'Detailed Financials'!BB127</f>
        <v>0</v>
      </c>
      <c r="BC47" s="50">
        <f>'Detailed Financials'!BC127</f>
        <v>0</v>
      </c>
      <c r="BD47" s="50">
        <f>'Detailed Financials'!BD127</f>
        <v>0</v>
      </c>
      <c r="BE47" s="50">
        <f>'Detailed Financials'!BE127</f>
        <v>0</v>
      </c>
      <c r="BF47" s="50">
        <f>'Detailed Financials'!BF127</f>
        <v>0</v>
      </c>
      <c r="BG47" s="50">
        <f>'Detailed Financials'!BG127</f>
        <v>0</v>
      </c>
      <c r="BH47" s="50">
        <f>'Detailed Financials'!BH127</f>
        <v>0</v>
      </c>
      <c r="BI47" s="50">
        <f>'Detailed Financials'!BI127</f>
        <v>0</v>
      </c>
      <c r="BJ47" s="50">
        <f>'Detailed Financials'!BJ127</f>
        <v>0</v>
      </c>
      <c r="BK47" s="50">
        <f>'Detailed Financials'!BK127</f>
        <v>0</v>
      </c>
      <c r="BL47" s="50">
        <f>'Detailed Financials'!BL127</f>
        <v>0</v>
      </c>
      <c r="BM47" s="50">
        <f>'Detailed Financials'!BM127</f>
        <v>0</v>
      </c>
      <c r="BN47" s="50">
        <f>'Detailed Financials'!BN127</f>
        <v>0</v>
      </c>
    </row>
    <row r="48" spans="3:66" x14ac:dyDescent="0.3">
      <c r="C48" s="25" t="s">
        <v>107</v>
      </c>
      <c r="E48" s="68">
        <f>Assumptions!E60</f>
        <v>0.21</v>
      </c>
      <c r="G48" s="70">
        <f>$E48</f>
        <v>0.21</v>
      </c>
      <c r="H48" s="70">
        <f t="shared" ref="H48:BN48" si="236">$E48</f>
        <v>0.21</v>
      </c>
      <c r="I48" s="70">
        <f t="shared" si="236"/>
        <v>0.21</v>
      </c>
      <c r="J48" s="70">
        <f t="shared" si="236"/>
        <v>0.21</v>
      </c>
      <c r="K48" s="70">
        <f t="shared" si="236"/>
        <v>0.21</v>
      </c>
      <c r="L48" s="70">
        <f t="shared" si="236"/>
        <v>0.21</v>
      </c>
      <c r="M48" s="70">
        <f t="shared" si="236"/>
        <v>0.21</v>
      </c>
      <c r="N48" s="70">
        <f t="shared" si="236"/>
        <v>0.21</v>
      </c>
      <c r="O48" s="70">
        <f t="shared" si="236"/>
        <v>0.21</v>
      </c>
      <c r="P48" s="70">
        <f t="shared" si="236"/>
        <v>0.21</v>
      </c>
      <c r="Q48" s="70">
        <f t="shared" si="236"/>
        <v>0.21</v>
      </c>
      <c r="R48" s="70">
        <f t="shared" si="236"/>
        <v>0.21</v>
      </c>
      <c r="S48" s="70">
        <f t="shared" si="236"/>
        <v>0.21</v>
      </c>
      <c r="T48" s="70">
        <f t="shared" si="236"/>
        <v>0.21</v>
      </c>
      <c r="U48" s="70">
        <f t="shared" si="236"/>
        <v>0.21</v>
      </c>
      <c r="V48" s="70">
        <f t="shared" si="236"/>
        <v>0.21</v>
      </c>
      <c r="W48" s="70">
        <f t="shared" si="236"/>
        <v>0.21</v>
      </c>
      <c r="X48" s="70">
        <f t="shared" si="236"/>
        <v>0.21</v>
      </c>
      <c r="Y48" s="70">
        <f t="shared" si="236"/>
        <v>0.21</v>
      </c>
      <c r="Z48" s="70">
        <f t="shared" si="236"/>
        <v>0.21</v>
      </c>
      <c r="AA48" s="70">
        <f t="shared" si="236"/>
        <v>0.21</v>
      </c>
      <c r="AB48" s="70">
        <f t="shared" si="236"/>
        <v>0.21</v>
      </c>
      <c r="AC48" s="70">
        <f t="shared" si="236"/>
        <v>0.21</v>
      </c>
      <c r="AD48" s="70">
        <f t="shared" si="236"/>
        <v>0.21</v>
      </c>
      <c r="AE48" s="70">
        <f t="shared" si="236"/>
        <v>0.21</v>
      </c>
      <c r="AF48" s="70">
        <f t="shared" si="236"/>
        <v>0.21</v>
      </c>
      <c r="AG48" s="70">
        <f t="shared" si="236"/>
        <v>0.21</v>
      </c>
      <c r="AH48" s="70">
        <f t="shared" si="236"/>
        <v>0.21</v>
      </c>
      <c r="AI48" s="70">
        <f t="shared" si="236"/>
        <v>0.21</v>
      </c>
      <c r="AJ48" s="70">
        <f t="shared" si="236"/>
        <v>0.21</v>
      </c>
      <c r="AK48" s="70">
        <f t="shared" si="236"/>
        <v>0.21</v>
      </c>
      <c r="AL48" s="70">
        <f t="shared" si="236"/>
        <v>0.21</v>
      </c>
      <c r="AM48" s="70">
        <f t="shared" si="236"/>
        <v>0.21</v>
      </c>
      <c r="AN48" s="70">
        <f t="shared" si="236"/>
        <v>0.21</v>
      </c>
      <c r="AO48" s="70">
        <f t="shared" si="236"/>
        <v>0.21</v>
      </c>
      <c r="AP48" s="70">
        <f t="shared" si="236"/>
        <v>0.21</v>
      </c>
      <c r="AQ48" s="70">
        <f t="shared" si="236"/>
        <v>0.21</v>
      </c>
      <c r="AR48" s="70">
        <f t="shared" si="236"/>
        <v>0.21</v>
      </c>
      <c r="AS48" s="70">
        <f t="shared" si="236"/>
        <v>0.21</v>
      </c>
      <c r="AT48" s="70">
        <f t="shared" si="236"/>
        <v>0.21</v>
      </c>
      <c r="AU48" s="70">
        <f t="shared" si="236"/>
        <v>0.21</v>
      </c>
      <c r="AV48" s="70">
        <f t="shared" si="236"/>
        <v>0.21</v>
      </c>
      <c r="AW48" s="70">
        <f t="shared" si="236"/>
        <v>0.21</v>
      </c>
      <c r="AX48" s="70">
        <f t="shared" si="236"/>
        <v>0.21</v>
      </c>
      <c r="AY48" s="70">
        <f t="shared" si="236"/>
        <v>0.21</v>
      </c>
      <c r="AZ48" s="70">
        <f t="shared" si="236"/>
        <v>0.21</v>
      </c>
      <c r="BA48" s="70">
        <f t="shared" si="236"/>
        <v>0.21</v>
      </c>
      <c r="BB48" s="70">
        <f t="shared" si="236"/>
        <v>0.21</v>
      </c>
      <c r="BC48" s="70">
        <f t="shared" si="236"/>
        <v>0.21</v>
      </c>
      <c r="BD48" s="70">
        <f t="shared" si="236"/>
        <v>0.21</v>
      </c>
      <c r="BE48" s="70">
        <f t="shared" si="236"/>
        <v>0.21</v>
      </c>
      <c r="BF48" s="70">
        <f t="shared" si="236"/>
        <v>0.21</v>
      </c>
      <c r="BG48" s="70">
        <f t="shared" si="236"/>
        <v>0.21</v>
      </c>
      <c r="BH48" s="70">
        <f t="shared" si="236"/>
        <v>0.21</v>
      </c>
      <c r="BI48" s="70">
        <f t="shared" si="236"/>
        <v>0.21</v>
      </c>
      <c r="BJ48" s="70">
        <f t="shared" si="236"/>
        <v>0.21</v>
      </c>
      <c r="BK48" s="70">
        <f t="shared" si="236"/>
        <v>0.21</v>
      </c>
      <c r="BL48" s="70">
        <f t="shared" si="236"/>
        <v>0.21</v>
      </c>
      <c r="BM48" s="70">
        <f t="shared" si="236"/>
        <v>0.21</v>
      </c>
      <c r="BN48" s="70">
        <f t="shared" si="236"/>
        <v>0.21</v>
      </c>
    </row>
    <row r="49" spans="1:66" x14ac:dyDescent="0.3">
      <c r="C49" s="11" t="s">
        <v>108</v>
      </c>
      <c r="D49" s="11"/>
      <c r="E49" s="11"/>
      <c r="F49" s="11"/>
      <c r="G49" s="46">
        <f>-G47*G48</f>
        <v>0</v>
      </c>
      <c r="H49" s="46">
        <f t="shared" ref="H49:AD49" si="237">-H47*H48</f>
        <v>0</v>
      </c>
      <c r="I49" s="46">
        <f t="shared" si="237"/>
        <v>0</v>
      </c>
      <c r="J49" s="46">
        <f t="shared" si="237"/>
        <v>0</v>
      </c>
      <c r="K49" s="46">
        <f t="shared" si="237"/>
        <v>0</v>
      </c>
      <c r="L49" s="46">
        <f t="shared" si="237"/>
        <v>0</v>
      </c>
      <c r="M49" s="46">
        <f t="shared" si="237"/>
        <v>0</v>
      </c>
      <c r="N49" s="46">
        <f t="shared" si="237"/>
        <v>0</v>
      </c>
      <c r="O49" s="46">
        <f t="shared" si="237"/>
        <v>0</v>
      </c>
      <c r="P49" s="46">
        <f t="shared" si="237"/>
        <v>0</v>
      </c>
      <c r="Q49" s="46">
        <f t="shared" si="237"/>
        <v>0</v>
      </c>
      <c r="R49" s="46">
        <f t="shared" si="237"/>
        <v>0</v>
      </c>
      <c r="S49" s="46">
        <f t="shared" si="237"/>
        <v>0</v>
      </c>
      <c r="T49" s="46">
        <f t="shared" si="237"/>
        <v>0</v>
      </c>
      <c r="U49" s="46">
        <f t="shared" si="237"/>
        <v>0</v>
      </c>
      <c r="V49" s="46">
        <f t="shared" si="237"/>
        <v>0</v>
      </c>
      <c r="W49" s="46">
        <f t="shared" si="237"/>
        <v>0</v>
      </c>
      <c r="X49" s="46">
        <f t="shared" si="237"/>
        <v>0</v>
      </c>
      <c r="Y49" s="46">
        <f t="shared" si="237"/>
        <v>0</v>
      </c>
      <c r="Z49" s="46">
        <f t="shared" si="237"/>
        <v>0</v>
      </c>
      <c r="AA49" s="46">
        <f t="shared" si="237"/>
        <v>0</v>
      </c>
      <c r="AB49" s="46">
        <f t="shared" si="237"/>
        <v>0</v>
      </c>
      <c r="AC49" s="46">
        <f t="shared" si="237"/>
        <v>0</v>
      </c>
      <c r="AD49" s="46">
        <f t="shared" si="237"/>
        <v>0</v>
      </c>
      <c r="AE49" s="46">
        <f t="shared" ref="AE49:BN49" si="238">-AE47*AE48</f>
        <v>0</v>
      </c>
      <c r="AF49" s="46">
        <f t="shared" si="238"/>
        <v>0</v>
      </c>
      <c r="AG49" s="46">
        <f t="shared" si="238"/>
        <v>0</v>
      </c>
      <c r="AH49" s="46">
        <f t="shared" si="238"/>
        <v>0</v>
      </c>
      <c r="AI49" s="46">
        <f t="shared" si="238"/>
        <v>0</v>
      </c>
      <c r="AJ49" s="46">
        <f t="shared" si="238"/>
        <v>0</v>
      </c>
      <c r="AK49" s="46">
        <f t="shared" si="238"/>
        <v>0</v>
      </c>
      <c r="AL49" s="46">
        <f t="shared" si="238"/>
        <v>0</v>
      </c>
      <c r="AM49" s="46">
        <f t="shared" si="238"/>
        <v>0</v>
      </c>
      <c r="AN49" s="46">
        <f t="shared" si="238"/>
        <v>0</v>
      </c>
      <c r="AO49" s="46">
        <f t="shared" si="238"/>
        <v>0</v>
      </c>
      <c r="AP49" s="46">
        <f t="shared" si="238"/>
        <v>0</v>
      </c>
      <c r="AQ49" s="46">
        <f t="shared" si="238"/>
        <v>0</v>
      </c>
      <c r="AR49" s="46">
        <f t="shared" si="238"/>
        <v>0</v>
      </c>
      <c r="AS49" s="46">
        <f t="shared" si="238"/>
        <v>0</v>
      </c>
      <c r="AT49" s="46">
        <f t="shared" si="238"/>
        <v>0</v>
      </c>
      <c r="AU49" s="46">
        <f t="shared" si="238"/>
        <v>0</v>
      </c>
      <c r="AV49" s="46">
        <f t="shared" si="238"/>
        <v>0</v>
      </c>
      <c r="AW49" s="46">
        <f t="shared" si="238"/>
        <v>0</v>
      </c>
      <c r="AX49" s="46">
        <f t="shared" si="238"/>
        <v>0</v>
      </c>
      <c r="AY49" s="46">
        <f t="shared" si="238"/>
        <v>0</v>
      </c>
      <c r="AZ49" s="46">
        <f t="shared" si="238"/>
        <v>0</v>
      </c>
      <c r="BA49" s="46">
        <f t="shared" si="238"/>
        <v>0</v>
      </c>
      <c r="BB49" s="46">
        <f t="shared" si="238"/>
        <v>0</v>
      </c>
      <c r="BC49" s="46">
        <f t="shared" si="238"/>
        <v>0</v>
      </c>
      <c r="BD49" s="46">
        <f t="shared" si="238"/>
        <v>0</v>
      </c>
      <c r="BE49" s="46">
        <f t="shared" si="238"/>
        <v>0</v>
      </c>
      <c r="BF49" s="46">
        <f t="shared" si="238"/>
        <v>0</v>
      </c>
      <c r="BG49" s="46">
        <f t="shared" si="238"/>
        <v>0</v>
      </c>
      <c r="BH49" s="46">
        <f t="shared" si="238"/>
        <v>0</v>
      </c>
      <c r="BI49" s="46">
        <f t="shared" si="238"/>
        <v>0</v>
      </c>
      <c r="BJ49" s="46">
        <f t="shared" si="238"/>
        <v>0</v>
      </c>
      <c r="BK49" s="46">
        <f t="shared" si="238"/>
        <v>0</v>
      </c>
      <c r="BL49" s="46">
        <f t="shared" si="238"/>
        <v>0</v>
      </c>
      <c r="BM49" s="46">
        <f t="shared" si="238"/>
        <v>0</v>
      </c>
      <c r="BN49" s="46">
        <f t="shared" si="238"/>
        <v>0</v>
      </c>
    </row>
    <row r="51" spans="1:66" x14ac:dyDescent="0.3">
      <c r="B51" s="22" t="s">
        <v>0</v>
      </c>
      <c r="C51" s="35" t="s">
        <v>110</v>
      </c>
      <c r="D51" s="47"/>
      <c r="E51" s="47"/>
      <c r="F51" s="47"/>
      <c r="G51" s="40">
        <f t="shared" ref="G51:AD51" si="239">G44+G49</f>
        <v>-84882.75</v>
      </c>
      <c r="H51" s="40">
        <f t="shared" si="239"/>
        <v>-83495.100000000006</v>
      </c>
      <c r="I51" s="40">
        <f t="shared" si="239"/>
        <v>-82170.45</v>
      </c>
      <c r="J51" s="40">
        <f t="shared" si="239"/>
        <v>-97906.8</v>
      </c>
      <c r="K51" s="40">
        <f t="shared" si="239"/>
        <v>-96753.4</v>
      </c>
      <c r="L51" s="40">
        <f t="shared" si="239"/>
        <v>-95571.05</v>
      </c>
      <c r="M51" s="40">
        <f t="shared" si="239"/>
        <v>-117173.11000000002</v>
      </c>
      <c r="N51" s="40">
        <f t="shared" si="239"/>
        <v>-116001.79</v>
      </c>
      <c r="O51" s="40">
        <f t="shared" si="239"/>
        <v>-114777.86999999998</v>
      </c>
      <c r="P51" s="40">
        <f t="shared" si="239"/>
        <v>-148047.5821</v>
      </c>
      <c r="Q51" s="40">
        <f t="shared" si="239"/>
        <v>-146619.21179999999</v>
      </c>
      <c r="R51" s="40">
        <f t="shared" si="239"/>
        <v>-151226.65109999999</v>
      </c>
      <c r="S51" s="40">
        <f t="shared" si="239"/>
        <v>-170191.17606299999</v>
      </c>
      <c r="T51" s="40">
        <f t="shared" si="239"/>
        <v>-168842.87062100001</v>
      </c>
      <c r="U51" s="40">
        <f t="shared" si="239"/>
        <v>-167329.16705400002</v>
      </c>
      <c r="V51" s="40">
        <f t="shared" si="239"/>
        <v>-206863.27763128004</v>
      </c>
      <c r="W51" s="40">
        <f t="shared" si="239"/>
        <v>-205088.43505032</v>
      </c>
      <c r="X51" s="40">
        <f t="shared" si="239"/>
        <v>-203003.73925061</v>
      </c>
      <c r="Y51" s="40">
        <f t="shared" si="239"/>
        <v>-223893.83730367129</v>
      </c>
      <c r="Z51" s="40">
        <f t="shared" si="239"/>
        <v>-239309.07396961169</v>
      </c>
      <c r="AA51" s="40">
        <f t="shared" si="239"/>
        <v>-236543.25098185043</v>
      </c>
      <c r="AB51" s="40">
        <f t="shared" si="239"/>
        <v>-256848.95287147266</v>
      </c>
      <c r="AC51" s="40">
        <f t="shared" si="239"/>
        <v>-271277.33285860042</v>
      </c>
      <c r="AD51" s="40">
        <f t="shared" si="239"/>
        <v>-287853.6867923406</v>
      </c>
      <c r="AE51" s="40">
        <f t="shared" ref="AE51:BN51" si="240">AE44+AE49</f>
        <v>-298669.58875509218</v>
      </c>
      <c r="AF51" s="40">
        <f t="shared" si="240"/>
        <v>-318475.25403131562</v>
      </c>
      <c r="AG51" s="40">
        <f t="shared" si="240"/>
        <v>-319847.87136758678</v>
      </c>
      <c r="AH51" s="40">
        <f t="shared" si="240"/>
        <v>-354663.48458239355</v>
      </c>
      <c r="AI51" s="40">
        <f t="shared" si="240"/>
        <v>-348623.28669868584</v>
      </c>
      <c r="AJ51" s="40">
        <f t="shared" si="240"/>
        <v>-366081.60553010949</v>
      </c>
      <c r="AK51" s="40">
        <f t="shared" si="240"/>
        <v>-396018.61106991582</v>
      </c>
      <c r="AL51" s="40">
        <f t="shared" si="240"/>
        <v>-394922.71595194901</v>
      </c>
      <c r="AM51" s="40">
        <f t="shared" si="240"/>
        <v>-415633.51958752144</v>
      </c>
      <c r="AN51" s="40">
        <f t="shared" si="240"/>
        <v>-441233.96327952784</v>
      </c>
      <c r="AO51" s="40">
        <f t="shared" si="240"/>
        <v>-454863.30531034002</v>
      </c>
      <c r="AP51" s="40">
        <f t="shared" si="240"/>
        <v>-472424.77309616795</v>
      </c>
      <c r="AQ51" s="40">
        <f t="shared" si="240"/>
        <v>-488533.61896383774</v>
      </c>
      <c r="AR51" s="40">
        <f t="shared" si="240"/>
        <v>-503879.81568638509</v>
      </c>
      <c r="AS51" s="40">
        <f t="shared" si="240"/>
        <v>-516223.45107098506</v>
      </c>
      <c r="AT51" s="40">
        <f t="shared" si="240"/>
        <v>-552778.33415583381</v>
      </c>
      <c r="AU51" s="40">
        <f t="shared" si="240"/>
        <v>-565898.1055192916</v>
      </c>
      <c r="AV51" s="40">
        <f t="shared" si="240"/>
        <v>-590811.68926301622</v>
      </c>
      <c r="AW51" s="40">
        <f t="shared" si="240"/>
        <v>-622503.89861840755</v>
      </c>
      <c r="AX51" s="40">
        <f t="shared" si="240"/>
        <v>-645577.94394919497</v>
      </c>
      <c r="AY51" s="40">
        <f t="shared" si="240"/>
        <v>-667525.29545510875</v>
      </c>
      <c r="AZ51" s="40">
        <f t="shared" si="240"/>
        <v>-708828.45126639958</v>
      </c>
      <c r="BA51" s="40">
        <f t="shared" si="240"/>
        <v>-727683.82935191155</v>
      </c>
      <c r="BB51" s="40">
        <f t="shared" si="240"/>
        <v>-760909.21548344148</v>
      </c>
      <c r="BC51" s="40">
        <f t="shared" si="240"/>
        <v>-781134.25363415945</v>
      </c>
      <c r="BD51" s="40">
        <f t="shared" si="240"/>
        <v>-825885.65947975032</v>
      </c>
      <c r="BE51" s="40">
        <f t="shared" si="240"/>
        <v>-864888.22245745896</v>
      </c>
      <c r="BF51" s="40">
        <f t="shared" si="240"/>
        <v>-898836.70977642154</v>
      </c>
      <c r="BG51" s="40">
        <f t="shared" si="240"/>
        <v>-928303.67226608889</v>
      </c>
      <c r="BH51" s="40">
        <f t="shared" si="240"/>
        <v>-981089.46434799442</v>
      </c>
      <c r="BI51" s="40">
        <f t="shared" si="240"/>
        <v>-1023423.9496968198</v>
      </c>
      <c r="BJ51" s="40">
        <f t="shared" si="240"/>
        <v>-1073000.732681626</v>
      </c>
      <c r="BK51" s="40">
        <f t="shared" si="240"/>
        <v>-1124102.4241276206</v>
      </c>
      <c r="BL51" s="40">
        <f t="shared" si="240"/>
        <v>-1171053.8095004479</v>
      </c>
      <c r="BM51" s="40">
        <f t="shared" si="240"/>
        <v>-1241600.8768813526</v>
      </c>
      <c r="BN51" s="40">
        <f t="shared" si="240"/>
        <v>-1299223.1233186172</v>
      </c>
    </row>
    <row r="53" spans="1:66" x14ac:dyDescent="0.3">
      <c r="A53" s="22" t="s">
        <v>0</v>
      </c>
      <c r="B53" s="22" t="s">
        <v>0</v>
      </c>
      <c r="C53" s="53" t="s">
        <v>111</v>
      </c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</row>
    <row r="54" spans="1:66" ht="3" customHeight="1" x14ac:dyDescent="0.3"/>
    <row r="55" spans="1:66" x14ac:dyDescent="0.3">
      <c r="B55" s="22" t="s">
        <v>0</v>
      </c>
      <c r="C55" s="4" t="s">
        <v>120</v>
      </c>
    </row>
    <row r="56" spans="1:66" ht="3" customHeight="1" x14ac:dyDescent="0.3"/>
    <row r="57" spans="1:66" x14ac:dyDescent="0.3">
      <c r="C57" t="s">
        <v>126</v>
      </c>
      <c r="G57" s="50">
        <f>'Detailed Financials'!G137</f>
        <v>937624.16666666663</v>
      </c>
      <c r="H57" s="50">
        <f>'Detailed Financials'!H137</f>
        <v>876277.75</v>
      </c>
      <c r="I57" s="50">
        <f>'Detailed Financials'!I137</f>
        <v>815913.15</v>
      </c>
      <c r="J57" s="50">
        <f>'Detailed Financials'!J137</f>
        <v>738346.56666666665</v>
      </c>
      <c r="K57" s="50">
        <f>'Detailed Financials'!K137</f>
        <v>662543.16666666663</v>
      </c>
      <c r="L57" s="50">
        <f>'Detailed Financials'!L137</f>
        <v>587677.94999999995</v>
      </c>
      <c r="M57" s="50">
        <f>'Detailed Financials'!M137</f>
        <v>489068.65666666662</v>
      </c>
      <c r="N57" s="50">
        <f>'Detailed Financials'!N137</f>
        <v>393067.43333333329</v>
      </c>
      <c r="O57" s="50">
        <f>'Detailed Financials'!O137</f>
        <v>298086.23</v>
      </c>
      <c r="P57" s="50">
        <f>'Detailed Financials'!P137</f>
        <v>166994.43123333331</v>
      </c>
      <c r="Q57" s="50">
        <f>'Detailed Financials'!Q137</f>
        <v>21438652.9444272</v>
      </c>
      <c r="R57" s="50">
        <f>'Detailed Financials'!R137</f>
        <v>21306612.226660535</v>
      </c>
      <c r="S57" s="50">
        <f>'Detailed Financials'!S137</f>
        <v>21163279.300597534</v>
      </c>
      <c r="T57" s="50">
        <f>'Detailed Financials'!T137</f>
        <v>21025978.796643201</v>
      </c>
      <c r="U57" s="50">
        <f>'Detailed Financials'!U137</f>
        <v>20891486.329589203</v>
      </c>
      <c r="V57" s="50">
        <f>'Detailed Financials'!V137</f>
        <v>20713614.301957924</v>
      </c>
      <c r="W57" s="50">
        <f>'Detailed Financials'!W137</f>
        <v>20543903.266907603</v>
      </c>
      <c r="X57" s="50">
        <f>'Detailed Financials'!X137</f>
        <v>20377649.827656992</v>
      </c>
      <c r="Y57" s="50">
        <f>'Detailed Financials'!Y137</f>
        <v>20184974.757019985</v>
      </c>
      <c r="Z57" s="50">
        <f>'Detailed Financials'!Z137</f>
        <v>19985237.683050375</v>
      </c>
      <c r="AA57" s="50">
        <f>'Detailed Financials'!AA137</f>
        <v>19790248.432068527</v>
      </c>
      <c r="AB57" s="50">
        <f>'Detailed Financials'!AB137</f>
        <v>19568117.845863722</v>
      </c>
      <c r="AC57" s="50">
        <f>'Detailed Financials'!AC137</f>
        <v>19342100.146338455</v>
      </c>
      <c r="AD57" s="50">
        <f>'Detailed Financials'!AD137</f>
        <v>19101908.42621278</v>
      </c>
      <c r="AE57" s="50">
        <f>'Detailed Financials'!AE137</f>
        <v>18841685.02079102</v>
      </c>
      <c r="AF57" s="50">
        <f>'Detailed Financials'!AF137</f>
        <v>18576423.03342637</v>
      </c>
      <c r="AG57" s="50">
        <f>'Detailed Financials'!AG137</f>
        <v>18313846.278725449</v>
      </c>
      <c r="AH57" s="50">
        <f>'Detailed Financials'!AH137</f>
        <v>18005358.227476388</v>
      </c>
      <c r="AI57" s="50">
        <f>'Detailed Financials'!AI137</f>
        <v>17721788.307444368</v>
      </c>
      <c r="AJ57" s="50">
        <f>'Detailed Financials'!AJ137</f>
        <v>17425699.635247592</v>
      </c>
      <c r="AK57" s="50">
        <f>'Detailed Financials'!AK137</f>
        <v>17084843.540844344</v>
      </c>
      <c r="AL57" s="50">
        <f>'Detailed Financials'!AL137</f>
        <v>16768802.374892395</v>
      </c>
      <c r="AM57" s="50">
        <f>'Detailed Financials'!AM137</f>
        <v>16437940.071971539</v>
      </c>
      <c r="AN57" s="50">
        <f>'Detailed Financials'!AN137</f>
        <v>16062355.225358678</v>
      </c>
      <c r="AO57" s="50">
        <f>'Detailed Financials'!AO137</f>
        <v>15703954.586715005</v>
      </c>
      <c r="AP57" s="50">
        <f>'Detailed Financials'!AP137</f>
        <v>15335153.480285505</v>
      </c>
      <c r="AQ57" s="50">
        <f>'Detailed Financials'!AQ137</f>
        <v>14924412.494655</v>
      </c>
      <c r="AR57" s="50">
        <f>'Detailed Financials'!AR137</f>
        <v>14537446.895635281</v>
      </c>
      <c r="AS57" s="50">
        <f>'Detailed Financials'!AS137</f>
        <v>14147219.327897629</v>
      </c>
      <c r="AT57" s="50">
        <f>'Detailed Financials'!AT137</f>
        <v>13686501.260408461</v>
      </c>
      <c r="AU57" s="50">
        <f>'Detailed Financials'!AU137</f>
        <v>13262673.921555836</v>
      </c>
      <c r="AV57" s="50">
        <f>'Detailed Financials'!AV137</f>
        <v>12825038.098959487</v>
      </c>
      <c r="AW57" s="50">
        <f>'Detailed Financials'!AW137</f>
        <v>12311135.85034108</v>
      </c>
      <c r="AX57" s="50">
        <f>'Detailed Financials'!AX137</f>
        <v>11837811.356391884</v>
      </c>
      <c r="AY57" s="50">
        <f>'Detailed Financials'!AY137</f>
        <v>11355662.760936776</v>
      </c>
      <c r="AZ57" s="50">
        <f>'Detailed Financials'!AZ137</f>
        <v>10773637.609670376</v>
      </c>
      <c r="BA57" s="50">
        <f>'Detailed Financials'!BA137</f>
        <v>10254540.646985132</v>
      </c>
      <c r="BB57" s="50">
        <f>'Detailed Financials'!BB137</f>
        <v>9718212.6981683578</v>
      </c>
      <c r="BC57" s="50">
        <f>'Detailed Financials'!BC137</f>
        <v>9083760.8278675321</v>
      </c>
      <c r="BD57" s="50">
        <f>'Detailed Financials'!BD137</f>
        <v>8509185.5850544479</v>
      </c>
      <c r="BE57" s="50">
        <f>'Detailed Financials'!BE137</f>
        <v>7914418.5292636557</v>
      </c>
      <c r="BF57" s="50">
        <f>'Detailed Financials'!BF137</f>
        <v>7182925.8194872346</v>
      </c>
      <c r="BG57" s="50">
        <f>'Detailed Financials'!BG137</f>
        <v>6556361.2472211458</v>
      </c>
      <c r="BH57" s="50">
        <f>'Detailed Financials'!BH137</f>
        <v>5899963.7828731518</v>
      </c>
      <c r="BI57" s="50">
        <f>'Detailed Financials'!BI137</f>
        <v>5064574.5498429984</v>
      </c>
      <c r="BJ57" s="50">
        <f>'Detailed Financials'!BJ137</f>
        <v>4352297.3171613719</v>
      </c>
      <c r="BK57" s="50">
        <f>'Detailed Financials'!BK137</f>
        <v>3615946.4930337514</v>
      </c>
      <c r="BL57" s="50">
        <f>'Detailed Financials'!BL137</f>
        <v>2651260.3001999701</v>
      </c>
      <c r="BM57" s="50">
        <f>'Detailed Financials'!BM137</f>
        <v>1838306.9566519507</v>
      </c>
      <c r="BN57" s="50">
        <f>'Detailed Financials'!BN137</f>
        <v>1000000.0000000002</v>
      </c>
    </row>
    <row r="58" spans="1:66" x14ac:dyDescent="0.3">
      <c r="C58" t="s">
        <v>129</v>
      </c>
      <c r="G58" s="62">
        <f>'Detailed Financials'!G141</f>
        <v>702.08333333333326</v>
      </c>
      <c r="H58" s="62">
        <f>'Detailed Financials'!H141</f>
        <v>1397.5</v>
      </c>
      <c r="I58" s="62">
        <f>'Detailed Financials'!I141</f>
        <v>2101.25</v>
      </c>
      <c r="J58" s="62">
        <f>'Detailed Financials'!J141</f>
        <v>2813.333333333333</v>
      </c>
      <c r="K58" s="62">
        <f>'Detailed Financials'!K141</f>
        <v>3548.333333333333</v>
      </c>
      <c r="L58" s="62">
        <f>'Detailed Financials'!L141</f>
        <v>4311.25</v>
      </c>
      <c r="M58" s="62">
        <f>'Detailed Financials'!M141</f>
        <v>5112.083333333333</v>
      </c>
      <c r="N58" s="62">
        <f>'Detailed Financials'!N141</f>
        <v>5955.4166666666661</v>
      </c>
      <c r="O58" s="62">
        <f>'Detailed Financials'!O141</f>
        <v>6851.25</v>
      </c>
      <c r="P58" s="62">
        <f>'Detailed Financials'!P141</f>
        <v>7804.1666666666661</v>
      </c>
      <c r="Q58" s="62">
        <f>'Detailed Financials'!Q141</f>
        <v>8819.1666666666661</v>
      </c>
      <c r="R58" s="62">
        <f>'Detailed Financials'!R141</f>
        <v>9905.8333333333321</v>
      </c>
      <c r="S58" s="62">
        <f>'Detailed Financials'!S141</f>
        <v>10992.083333333332</v>
      </c>
      <c r="T58" s="62">
        <f>'Detailed Financials'!T141</f>
        <v>12160.416666666666</v>
      </c>
      <c r="U58" s="62">
        <f>'Detailed Financials'!U141</f>
        <v>13420.416666666666</v>
      </c>
      <c r="V58" s="62">
        <f>'Detailed Financials'!V141</f>
        <v>14786.666666666666</v>
      </c>
      <c r="W58" s="62">
        <f>'Detailed Financials'!W141</f>
        <v>16264.166666666666</v>
      </c>
      <c r="X58" s="62">
        <f>'Detailed Financials'!X141</f>
        <v>17862.916666666664</v>
      </c>
      <c r="Y58" s="62">
        <f>'Detailed Financials'!Y141</f>
        <v>19597.5</v>
      </c>
      <c r="Z58" s="62">
        <f>'Detailed Financials'!Z141</f>
        <v>21482.5</v>
      </c>
      <c r="AA58" s="62">
        <f>'Detailed Financials'!AA141</f>
        <v>23527.5</v>
      </c>
      <c r="AB58" s="62">
        <f>'Detailed Financials'!AB141</f>
        <v>25757.083333333332</v>
      </c>
      <c r="AC58" s="62">
        <f>'Detailed Financials'!AC141</f>
        <v>28181.25</v>
      </c>
      <c r="AD58" s="62">
        <f>'Detailed Financials'!AD141</f>
        <v>30809.583333333332</v>
      </c>
      <c r="AE58" s="62">
        <f>'Detailed Financials'!AE141</f>
        <v>33511.25</v>
      </c>
      <c r="AF58" s="62">
        <f>'Detailed Financials'!AF141</f>
        <v>36452.083333333328</v>
      </c>
      <c r="AG58" s="62">
        <f>'Detailed Financials'!AG141</f>
        <v>39656.666666666664</v>
      </c>
      <c r="AH58" s="62">
        <f>'Detailed Financials'!AH141</f>
        <v>43154.583333333328</v>
      </c>
      <c r="AI58" s="62">
        <f>'Detailed Financials'!AI141</f>
        <v>46960.416666666664</v>
      </c>
      <c r="AJ58" s="62">
        <f>'Detailed Financials'!AJ141</f>
        <v>51113.333333333328</v>
      </c>
      <c r="AK58" s="62">
        <f>'Detailed Financials'!AK141</f>
        <v>55642.916666666664</v>
      </c>
      <c r="AL58" s="62">
        <f>'Detailed Financials'!AL141</f>
        <v>60579.166666666664</v>
      </c>
      <c r="AM58" s="62">
        <f>'Detailed Financials'!AM141</f>
        <v>65961.25</v>
      </c>
      <c r="AN58" s="62">
        <f>'Detailed Financials'!AN141</f>
        <v>71828.333333333328</v>
      </c>
      <c r="AO58" s="62">
        <f>'Detailed Financials'!AO141</f>
        <v>78239.166666666657</v>
      </c>
      <c r="AP58" s="62">
        <f>'Detailed Financials'!AP141</f>
        <v>85233.75</v>
      </c>
      <c r="AQ58" s="62">
        <f>'Detailed Financials'!AQ141</f>
        <v>92861.666666666657</v>
      </c>
      <c r="AR58" s="62">
        <f>'Detailed Financials'!AR141</f>
        <v>101196.25</v>
      </c>
      <c r="AS58" s="62">
        <f>'Detailed Financials'!AS141</f>
        <v>110301.66666666666</v>
      </c>
      <c r="AT58" s="62">
        <f>'Detailed Financials'!AT141</f>
        <v>120237.5</v>
      </c>
      <c r="AU58" s="62">
        <f>'Detailed Financials'!AU141</f>
        <v>131097.08333333331</v>
      </c>
      <c r="AV58" s="62">
        <f>'Detailed Financials'!AV141</f>
        <v>142964.16666666666</v>
      </c>
      <c r="AW58" s="62">
        <f>'Detailed Financials'!AW141</f>
        <v>155932.91666666666</v>
      </c>
      <c r="AX58" s="62">
        <f>'Detailed Financials'!AX141</f>
        <v>170111.66666666666</v>
      </c>
      <c r="AY58" s="62">
        <f>'Detailed Financials'!AY141</f>
        <v>185609.16666666666</v>
      </c>
      <c r="AZ58" s="62">
        <f>'Detailed Financials'!AZ141</f>
        <v>202544.16666666666</v>
      </c>
      <c r="BA58" s="62">
        <f>'Detailed Financials'!BA141</f>
        <v>221060</v>
      </c>
      <c r="BB58" s="62">
        <f>'Detailed Financials'!BB141</f>
        <v>241309.58333333331</v>
      </c>
      <c r="BC58" s="62">
        <f>'Detailed Financials'!BC141</f>
        <v>263456.25</v>
      </c>
      <c r="BD58" s="62">
        <f>'Detailed Financials'!BD141</f>
        <v>287683.33333333331</v>
      </c>
      <c r="BE58" s="62">
        <f>'Detailed Financials'!BE141</f>
        <v>314174.16666666663</v>
      </c>
      <c r="BF58" s="62">
        <f>'Detailed Financials'!BF141</f>
        <v>343160.41666666663</v>
      </c>
      <c r="BG58" s="62">
        <f>'Detailed Financials'!BG141</f>
        <v>374875.41666666663</v>
      </c>
      <c r="BH58" s="62">
        <f>'Detailed Financials'!BH141</f>
        <v>409581.66666666663</v>
      </c>
      <c r="BI58" s="62">
        <f>'Detailed Financials'!BI141</f>
        <v>447561.25</v>
      </c>
      <c r="BJ58" s="62">
        <f>'Detailed Financials'!BJ141</f>
        <v>489136.25</v>
      </c>
      <c r="BK58" s="62">
        <f>'Detailed Financials'!BK141</f>
        <v>534643.75</v>
      </c>
      <c r="BL58" s="62">
        <f>'Detailed Financials'!BL141</f>
        <v>584455.83333333326</v>
      </c>
      <c r="BM58" s="62">
        <f>'Detailed Financials'!BM141</f>
        <v>638988.75</v>
      </c>
      <c r="BN58" s="62">
        <f>'Detailed Financials'!BN141</f>
        <v>698703.33333333326</v>
      </c>
    </row>
    <row r="59" spans="1:66" x14ac:dyDescent="0.3">
      <c r="C59" s="31" t="s">
        <v>123</v>
      </c>
      <c r="D59" s="32"/>
      <c r="E59" s="32"/>
      <c r="F59" s="32"/>
      <c r="G59" s="39">
        <f t="shared" ref="G59:AD59" si="241">SUM(G57, G58)</f>
        <v>938326.25</v>
      </c>
      <c r="H59" s="39">
        <f t="shared" si="241"/>
        <v>877675.25</v>
      </c>
      <c r="I59" s="39">
        <f t="shared" si="241"/>
        <v>818014.4</v>
      </c>
      <c r="J59" s="39">
        <f t="shared" si="241"/>
        <v>741159.9</v>
      </c>
      <c r="K59" s="39">
        <f t="shared" si="241"/>
        <v>666091.5</v>
      </c>
      <c r="L59" s="39">
        <f t="shared" si="241"/>
        <v>591989.19999999995</v>
      </c>
      <c r="M59" s="39">
        <f t="shared" si="241"/>
        <v>494180.73999999993</v>
      </c>
      <c r="N59" s="39">
        <f t="shared" si="241"/>
        <v>399022.85</v>
      </c>
      <c r="O59" s="39">
        <f t="shared" si="241"/>
        <v>304937.48</v>
      </c>
      <c r="P59" s="39">
        <f t="shared" si="241"/>
        <v>174798.59789999996</v>
      </c>
      <c r="Q59" s="39">
        <f t="shared" si="241"/>
        <v>21447472.111093868</v>
      </c>
      <c r="R59" s="39">
        <f t="shared" si="241"/>
        <v>21316518.059993867</v>
      </c>
      <c r="S59" s="39">
        <f t="shared" si="241"/>
        <v>21174271.383930866</v>
      </c>
      <c r="T59" s="39">
        <f t="shared" si="241"/>
        <v>21038139.213309869</v>
      </c>
      <c r="U59" s="39">
        <f t="shared" si="241"/>
        <v>20904906.746255871</v>
      </c>
      <c r="V59" s="39">
        <f t="shared" si="241"/>
        <v>20728400.968624592</v>
      </c>
      <c r="W59" s="39">
        <f t="shared" si="241"/>
        <v>20560167.43357427</v>
      </c>
      <c r="X59" s="39">
        <f t="shared" si="241"/>
        <v>20395512.74432366</v>
      </c>
      <c r="Y59" s="39">
        <f t="shared" si="241"/>
        <v>20204572.257019985</v>
      </c>
      <c r="Z59" s="39">
        <f t="shared" si="241"/>
        <v>20006720.183050375</v>
      </c>
      <c r="AA59" s="39">
        <f t="shared" si="241"/>
        <v>19813775.932068527</v>
      </c>
      <c r="AB59" s="39">
        <f t="shared" si="241"/>
        <v>19593874.929197054</v>
      </c>
      <c r="AC59" s="39">
        <f t="shared" si="241"/>
        <v>19370281.396338455</v>
      </c>
      <c r="AD59" s="39">
        <f t="shared" si="241"/>
        <v>19132718.009546112</v>
      </c>
      <c r="AE59" s="39">
        <f t="shared" ref="AE59:BN59" si="242">SUM(AE57, AE58)</f>
        <v>18875196.27079102</v>
      </c>
      <c r="AF59" s="39">
        <f t="shared" si="242"/>
        <v>18612875.116759703</v>
      </c>
      <c r="AG59" s="39">
        <f t="shared" si="242"/>
        <v>18353502.945392117</v>
      </c>
      <c r="AH59" s="39">
        <f t="shared" si="242"/>
        <v>18048512.81080972</v>
      </c>
      <c r="AI59" s="39">
        <f t="shared" si="242"/>
        <v>17768748.724111035</v>
      </c>
      <c r="AJ59" s="39">
        <f t="shared" si="242"/>
        <v>17476812.968580924</v>
      </c>
      <c r="AK59" s="39">
        <f t="shared" si="242"/>
        <v>17140486.457511012</v>
      </c>
      <c r="AL59" s="39">
        <f t="shared" si="242"/>
        <v>16829381.541559063</v>
      </c>
      <c r="AM59" s="39">
        <f t="shared" si="242"/>
        <v>16503901.321971539</v>
      </c>
      <c r="AN59" s="39">
        <f t="shared" si="242"/>
        <v>16134183.558692012</v>
      </c>
      <c r="AO59" s="39">
        <f t="shared" si="242"/>
        <v>15782193.753381671</v>
      </c>
      <c r="AP59" s="39">
        <f t="shared" si="242"/>
        <v>15420387.230285505</v>
      </c>
      <c r="AQ59" s="39">
        <f t="shared" si="242"/>
        <v>15017274.161321666</v>
      </c>
      <c r="AR59" s="39">
        <f t="shared" si="242"/>
        <v>14638643.145635281</v>
      </c>
      <c r="AS59" s="39">
        <f t="shared" si="242"/>
        <v>14257520.994564295</v>
      </c>
      <c r="AT59" s="39">
        <f t="shared" si="242"/>
        <v>13806738.760408461</v>
      </c>
      <c r="AU59" s="39">
        <f t="shared" si="242"/>
        <v>13393771.00488917</v>
      </c>
      <c r="AV59" s="39">
        <f t="shared" si="242"/>
        <v>12968002.265626153</v>
      </c>
      <c r="AW59" s="39">
        <f t="shared" si="242"/>
        <v>12467068.767007746</v>
      </c>
      <c r="AX59" s="39">
        <f t="shared" si="242"/>
        <v>12007923.02305855</v>
      </c>
      <c r="AY59" s="39">
        <f t="shared" si="242"/>
        <v>11541271.927603442</v>
      </c>
      <c r="AZ59" s="39">
        <f t="shared" si="242"/>
        <v>10976181.776337042</v>
      </c>
      <c r="BA59" s="39">
        <f t="shared" si="242"/>
        <v>10475600.646985132</v>
      </c>
      <c r="BB59" s="39">
        <f t="shared" si="242"/>
        <v>9959522.2815016918</v>
      </c>
      <c r="BC59" s="39">
        <f t="shared" si="242"/>
        <v>9347217.0778675321</v>
      </c>
      <c r="BD59" s="39">
        <f t="shared" si="242"/>
        <v>8796868.9183877818</v>
      </c>
      <c r="BE59" s="39">
        <f t="shared" si="242"/>
        <v>8228592.6959303226</v>
      </c>
      <c r="BF59" s="39">
        <f t="shared" si="242"/>
        <v>7526086.2361539016</v>
      </c>
      <c r="BG59" s="39">
        <f t="shared" si="242"/>
        <v>6931236.6638878128</v>
      </c>
      <c r="BH59" s="39">
        <f t="shared" si="242"/>
        <v>6309545.4495398188</v>
      </c>
      <c r="BI59" s="39">
        <f t="shared" si="242"/>
        <v>5512135.7998429984</v>
      </c>
      <c r="BJ59" s="39">
        <f t="shared" si="242"/>
        <v>4841433.5671613719</v>
      </c>
      <c r="BK59" s="39">
        <f t="shared" si="242"/>
        <v>4150590.2430337514</v>
      </c>
      <c r="BL59" s="39">
        <f t="shared" si="242"/>
        <v>3235716.1335333036</v>
      </c>
      <c r="BM59" s="39">
        <f t="shared" si="242"/>
        <v>2477295.7066519507</v>
      </c>
      <c r="BN59" s="39">
        <f t="shared" si="242"/>
        <v>1698703.3333333335</v>
      </c>
    </row>
    <row r="61" spans="1:66" x14ac:dyDescent="0.3">
      <c r="B61" s="22" t="s">
        <v>0</v>
      </c>
      <c r="C61" s="4" t="s">
        <v>122</v>
      </c>
      <c r="E61" s="63"/>
    </row>
    <row r="62" spans="1:66" ht="3" customHeight="1" x14ac:dyDescent="0.3">
      <c r="B62" s="22"/>
      <c r="C62" s="4"/>
    </row>
    <row r="63" spans="1:66" x14ac:dyDescent="0.3">
      <c r="B63" s="22"/>
      <c r="C63" t="s">
        <v>132</v>
      </c>
      <c r="G63" s="50">
        <f>'Detailed Financials'!G149</f>
        <v>2527.5</v>
      </c>
      <c r="H63" s="50">
        <f>'Detailed Financials'!H149</f>
        <v>5031</v>
      </c>
      <c r="I63" s="50">
        <f>'Detailed Financials'!I149</f>
        <v>7564.5</v>
      </c>
      <c r="J63" s="50">
        <f>'Detailed Financials'!J149</f>
        <v>10128</v>
      </c>
      <c r="K63" s="50">
        <f>'Detailed Financials'!K149</f>
        <v>12774</v>
      </c>
      <c r="L63" s="50">
        <f>'Detailed Financials'!L149</f>
        <v>15520.5</v>
      </c>
      <c r="M63" s="50">
        <f>'Detailed Financials'!M149</f>
        <v>18403.5</v>
      </c>
      <c r="N63" s="50">
        <f>'Detailed Financials'!N149</f>
        <v>21439.5</v>
      </c>
      <c r="O63" s="50">
        <f>'Detailed Financials'!O149</f>
        <v>24664.5</v>
      </c>
      <c r="P63" s="50">
        <f>'Detailed Financials'!P149</f>
        <v>28095</v>
      </c>
      <c r="Q63" s="50">
        <f>'Detailed Financials'!Q149</f>
        <v>31749</v>
      </c>
      <c r="R63" s="50">
        <f>'Detailed Financials'!R149</f>
        <v>35661</v>
      </c>
      <c r="S63" s="50">
        <f>'Detailed Financials'!S149</f>
        <v>39571.5</v>
      </c>
      <c r="T63" s="50">
        <f>'Detailed Financials'!T149</f>
        <v>43777.5</v>
      </c>
      <c r="U63" s="50">
        <f>'Detailed Financials'!U149</f>
        <v>48313.5</v>
      </c>
      <c r="V63" s="50">
        <f>'Detailed Financials'!V149</f>
        <v>53232</v>
      </c>
      <c r="W63" s="50">
        <f>'Detailed Financials'!W149</f>
        <v>58551</v>
      </c>
      <c r="X63" s="50">
        <f>'Detailed Financials'!X149</f>
        <v>64306.5</v>
      </c>
      <c r="Y63" s="50">
        <f>'Detailed Financials'!Y149</f>
        <v>70551</v>
      </c>
      <c r="Z63" s="50">
        <f>'Detailed Financials'!Z149</f>
        <v>77337</v>
      </c>
      <c r="AA63" s="50">
        <f>'Detailed Financials'!AA149</f>
        <v>84699</v>
      </c>
      <c r="AB63" s="50">
        <f>'Detailed Financials'!AB149</f>
        <v>92725.5</v>
      </c>
      <c r="AC63" s="50">
        <f>'Detailed Financials'!AC149</f>
        <v>101452.5</v>
      </c>
      <c r="AD63" s="50">
        <f>'Detailed Financials'!AD149</f>
        <v>110914.5</v>
      </c>
      <c r="AE63" s="50">
        <f>'Detailed Financials'!AE149</f>
        <v>120640.5</v>
      </c>
      <c r="AF63" s="50">
        <f>'Detailed Financials'!AF149</f>
        <v>131227.5</v>
      </c>
      <c r="AG63" s="50">
        <f>'Detailed Financials'!AG149</f>
        <v>142764</v>
      </c>
      <c r="AH63" s="50">
        <f>'Detailed Financials'!AH149</f>
        <v>155356.5</v>
      </c>
      <c r="AI63" s="50">
        <f>'Detailed Financials'!AI149</f>
        <v>169057.5</v>
      </c>
      <c r="AJ63" s="50">
        <f>'Detailed Financials'!AJ149</f>
        <v>184008</v>
      </c>
      <c r="AK63" s="50">
        <f>'Detailed Financials'!AK149</f>
        <v>200314.5</v>
      </c>
      <c r="AL63" s="50">
        <f>'Detailed Financials'!AL149</f>
        <v>218085</v>
      </c>
      <c r="AM63" s="50">
        <f>'Detailed Financials'!AM149</f>
        <v>237460.5</v>
      </c>
      <c r="AN63" s="50">
        <f>'Detailed Financials'!AN149</f>
        <v>258582</v>
      </c>
      <c r="AO63" s="50">
        <f>'Detailed Financials'!AO149</f>
        <v>281661</v>
      </c>
      <c r="AP63" s="50">
        <f>'Detailed Financials'!AP149</f>
        <v>306841.5</v>
      </c>
      <c r="AQ63" s="50">
        <f>'Detailed Financials'!AQ149</f>
        <v>334302</v>
      </c>
      <c r="AR63" s="50">
        <f>'Detailed Financials'!AR149</f>
        <v>364306.5</v>
      </c>
      <c r="AS63" s="50">
        <f>'Detailed Financials'!AS149</f>
        <v>397086</v>
      </c>
      <c r="AT63" s="50">
        <f>'Detailed Financials'!AT149</f>
        <v>432855</v>
      </c>
      <c r="AU63" s="50">
        <f>'Detailed Financials'!AU149</f>
        <v>471949.5</v>
      </c>
      <c r="AV63" s="50">
        <f>'Detailed Financials'!AV149</f>
        <v>514671</v>
      </c>
      <c r="AW63" s="50">
        <f>'Detailed Financials'!AW149</f>
        <v>561358.5</v>
      </c>
      <c r="AX63" s="50">
        <f>'Detailed Financials'!AX149</f>
        <v>612402</v>
      </c>
      <c r="AY63" s="50">
        <f>'Detailed Financials'!AY149</f>
        <v>668193</v>
      </c>
      <c r="AZ63" s="50">
        <f>'Detailed Financials'!AZ149</f>
        <v>729159</v>
      </c>
      <c r="BA63" s="50">
        <f>'Detailed Financials'!BA149</f>
        <v>795816</v>
      </c>
      <c r="BB63" s="50">
        <f>'Detailed Financials'!BB149</f>
        <v>868714.5</v>
      </c>
      <c r="BC63" s="50">
        <f>'Detailed Financials'!BC149</f>
        <v>948442.5</v>
      </c>
      <c r="BD63" s="50">
        <f>'Detailed Financials'!BD149</f>
        <v>1035660</v>
      </c>
      <c r="BE63" s="50">
        <f>'Detailed Financials'!BE149</f>
        <v>1131027</v>
      </c>
      <c r="BF63" s="50">
        <f>'Detailed Financials'!BF149</f>
        <v>1235377.5</v>
      </c>
      <c r="BG63" s="50">
        <f>'Detailed Financials'!BG149</f>
        <v>1349551.5</v>
      </c>
      <c r="BH63" s="50">
        <f>'Detailed Financials'!BH149</f>
        <v>1474494</v>
      </c>
      <c r="BI63" s="50">
        <f>'Detailed Financials'!BI149</f>
        <v>1611220.5</v>
      </c>
      <c r="BJ63" s="50">
        <f>'Detailed Financials'!BJ149</f>
        <v>1760890.5</v>
      </c>
      <c r="BK63" s="50">
        <f>'Detailed Financials'!BK149</f>
        <v>1924717.5</v>
      </c>
      <c r="BL63" s="50">
        <f>'Detailed Financials'!BL149</f>
        <v>2104041</v>
      </c>
      <c r="BM63" s="50">
        <f>'Detailed Financials'!BM149</f>
        <v>2300359.5</v>
      </c>
      <c r="BN63" s="50">
        <f>'Detailed Financials'!BN149</f>
        <v>2515332</v>
      </c>
    </row>
    <row r="64" spans="1:66" ht="14.4" customHeight="1" x14ac:dyDescent="0.3">
      <c r="B64" s="22"/>
      <c r="C64" t="s">
        <v>134</v>
      </c>
      <c r="G64" s="62">
        <f>'Detailed Financials'!G153</f>
        <v>4044</v>
      </c>
      <c r="H64" s="62">
        <f>'Detailed Financials'!H153</f>
        <v>8049.6</v>
      </c>
      <c r="I64" s="62">
        <f>'Detailed Financials'!I153</f>
        <v>12103.2</v>
      </c>
      <c r="J64" s="62">
        <f>'Detailed Financials'!J153</f>
        <v>15192</v>
      </c>
      <c r="K64" s="62">
        <f>'Detailed Financials'!K153</f>
        <v>19161</v>
      </c>
      <c r="L64" s="62">
        <f>'Detailed Financials'!L153</f>
        <v>23280.75</v>
      </c>
      <c r="M64" s="62">
        <f>'Detailed Financials'!M153</f>
        <v>25764.899999999998</v>
      </c>
      <c r="N64" s="62">
        <f>'Detailed Financials'!N153</f>
        <v>30015.299999999996</v>
      </c>
      <c r="O64" s="62">
        <f>'Detailed Financials'!O153</f>
        <v>34530.299999999996</v>
      </c>
      <c r="P64" s="62">
        <f>'Detailed Financials'!P153</f>
        <v>36523.499999999993</v>
      </c>
      <c r="Q64" s="62">
        <f>'Detailed Financials'!Q153</f>
        <v>41273.69999999999</v>
      </c>
      <c r="R64" s="62">
        <f>'Detailed Financials'!R153</f>
        <v>46359.299999999988</v>
      </c>
      <c r="S64" s="62">
        <f>'Detailed Financials'!S153</f>
        <v>47485.799999999996</v>
      </c>
      <c r="T64" s="62">
        <f>'Detailed Financials'!T153</f>
        <v>52532.999999999993</v>
      </c>
      <c r="U64" s="62">
        <f>'Detailed Financials'!U153</f>
        <v>57976.19999999999</v>
      </c>
      <c r="V64" s="62">
        <f>'Detailed Financials'!V153</f>
        <v>58555.19999999999</v>
      </c>
      <c r="W64" s="62">
        <f>'Detailed Financials'!W153</f>
        <v>64406.099999999991</v>
      </c>
      <c r="X64" s="62">
        <f>'Detailed Financials'!X153</f>
        <v>70737.149999999994</v>
      </c>
      <c r="Y64" s="62">
        <f>'Detailed Financials'!Y153</f>
        <v>70551</v>
      </c>
      <c r="Z64" s="62">
        <f>'Detailed Financials'!Z153</f>
        <v>77337</v>
      </c>
      <c r="AA64" s="62">
        <f>'Detailed Financials'!AA153</f>
        <v>84699</v>
      </c>
      <c r="AB64" s="62">
        <f>'Detailed Financials'!AB153</f>
        <v>83452.95</v>
      </c>
      <c r="AC64" s="62">
        <f>'Detailed Financials'!AC153</f>
        <v>91307.25</v>
      </c>
      <c r="AD64" s="62">
        <f>'Detailed Financials'!AD153</f>
        <v>99823.05</v>
      </c>
      <c r="AE64" s="62">
        <f>'Detailed Financials'!AE153</f>
        <v>96512.400000000009</v>
      </c>
      <c r="AF64" s="62">
        <f>'Detailed Financials'!AF153</f>
        <v>104982</v>
      </c>
      <c r="AG64" s="62">
        <f>'Detailed Financials'!AG153</f>
        <v>114211.2</v>
      </c>
      <c r="AH64" s="62">
        <f>'Detailed Financials'!AH153</f>
        <v>108749.55000000002</v>
      </c>
      <c r="AI64" s="62">
        <f>'Detailed Financials'!AI153</f>
        <v>118340.25000000001</v>
      </c>
      <c r="AJ64" s="62">
        <f>'Detailed Financials'!AJ153</f>
        <v>128805.6</v>
      </c>
      <c r="AK64" s="62">
        <f>'Detailed Financials'!AK153</f>
        <v>120188.70000000001</v>
      </c>
      <c r="AL64" s="62">
        <f>'Detailed Financials'!AL153</f>
        <v>130851.00000000001</v>
      </c>
      <c r="AM64" s="62">
        <f>'Detailed Financials'!AM153</f>
        <v>142476.30000000002</v>
      </c>
      <c r="AN64" s="62">
        <f>'Detailed Financials'!AN153</f>
        <v>129291</v>
      </c>
      <c r="AO64" s="62">
        <f>'Detailed Financials'!AO153</f>
        <v>140830.5</v>
      </c>
      <c r="AP64" s="62">
        <f>'Detailed Financials'!AP153</f>
        <v>153420.75</v>
      </c>
      <c r="AQ64" s="62">
        <f>'Detailed Financials'!AQ153</f>
        <v>133720.79999999999</v>
      </c>
      <c r="AR64" s="62">
        <f>'Detailed Financials'!AR153</f>
        <v>145722.6</v>
      </c>
      <c r="AS64" s="62">
        <f>'Detailed Financials'!AS153</f>
        <v>158834.4</v>
      </c>
      <c r="AT64" s="62">
        <f>'Detailed Financials'!AT153</f>
        <v>129856.5</v>
      </c>
      <c r="AU64" s="62">
        <f>'Detailed Financials'!AU153</f>
        <v>141584.85</v>
      </c>
      <c r="AV64" s="62">
        <f>'Detailed Financials'!AV153</f>
        <v>154401.29999999999</v>
      </c>
      <c r="AW64" s="62">
        <f>'Detailed Financials'!AW153</f>
        <v>112271.69999999998</v>
      </c>
      <c r="AX64" s="62">
        <f>'Detailed Financials'!AX153</f>
        <v>122480.39999999998</v>
      </c>
      <c r="AY64" s="62">
        <f>'Detailed Financials'!AY153</f>
        <v>133638.59999999998</v>
      </c>
      <c r="AZ64" s="62">
        <f>'Detailed Financials'!AZ153</f>
        <v>72915.89999999998</v>
      </c>
      <c r="BA64" s="62">
        <f>'Detailed Financials'!BA153</f>
        <v>79581.599999999977</v>
      </c>
      <c r="BB64" s="62">
        <f>'Detailed Financials'!BB153</f>
        <v>86871.449999999968</v>
      </c>
      <c r="BC64" s="62">
        <f>'Detailed Financials'!BC153</f>
        <v>0</v>
      </c>
      <c r="BD64" s="62">
        <f>'Detailed Financials'!BD153</f>
        <v>0</v>
      </c>
      <c r="BE64" s="62">
        <f>'Detailed Financials'!BE153</f>
        <v>0</v>
      </c>
      <c r="BF64" s="62">
        <f>'Detailed Financials'!BF153</f>
        <v>-123537.75</v>
      </c>
      <c r="BG64" s="62">
        <f>'Detailed Financials'!BG153</f>
        <v>-134955.15</v>
      </c>
      <c r="BH64" s="62">
        <f>'Detailed Financials'!BH153</f>
        <v>-147449.4</v>
      </c>
      <c r="BI64" s="62">
        <f>'Detailed Financials'!BI153</f>
        <v>-322244.10000000003</v>
      </c>
      <c r="BJ64" s="62">
        <f>'Detailed Financials'!BJ153</f>
        <v>-352178.10000000003</v>
      </c>
      <c r="BK64" s="62">
        <f>'Detailed Financials'!BK153</f>
        <v>-384943.5</v>
      </c>
      <c r="BL64" s="62">
        <f>'Detailed Financials'!BL153</f>
        <v>-631212.29999999993</v>
      </c>
      <c r="BM64" s="62">
        <f>'Detailed Financials'!BM153</f>
        <v>-690107.85</v>
      </c>
      <c r="BN64" s="62">
        <f>'Detailed Financials'!BN153</f>
        <v>-754599.6</v>
      </c>
    </row>
    <row r="65" spans="1:66" ht="14.4" customHeight="1" x14ac:dyDescent="0.3">
      <c r="C65" t="s">
        <v>48</v>
      </c>
      <c r="G65" s="27">
        <f>-G23</f>
        <v>16637.5</v>
      </c>
      <c r="H65" s="28">
        <f t="shared" ref="H65:AD65" si="243">G65-H23</f>
        <v>32972.5</v>
      </c>
      <c r="I65" s="28">
        <f t="shared" si="243"/>
        <v>48895</v>
      </c>
      <c r="J65" s="28">
        <f t="shared" si="243"/>
        <v>64295</v>
      </c>
      <c r="K65" s="28">
        <f t="shared" si="243"/>
        <v>79365</v>
      </c>
      <c r="L65" s="28">
        <f t="shared" si="243"/>
        <v>93967.5</v>
      </c>
      <c r="M65" s="28">
        <f t="shared" si="243"/>
        <v>107965</v>
      </c>
      <c r="N65" s="28">
        <f t="shared" si="243"/>
        <v>121522.5</v>
      </c>
      <c r="O65" s="28">
        <f t="shared" si="243"/>
        <v>134475</v>
      </c>
      <c r="P65" s="28">
        <f t="shared" si="243"/>
        <v>146960</v>
      </c>
      <c r="Q65" s="28">
        <f t="shared" si="243"/>
        <v>158785</v>
      </c>
      <c r="R65" s="28">
        <f t="shared" si="243"/>
        <v>170060</v>
      </c>
      <c r="S65" s="28">
        <f t="shared" si="243"/>
        <v>192967.5</v>
      </c>
      <c r="T65" s="28">
        <f t="shared" si="243"/>
        <v>216425</v>
      </c>
      <c r="U65" s="28">
        <f t="shared" si="243"/>
        <v>240542.5</v>
      </c>
      <c r="V65" s="28">
        <f t="shared" si="243"/>
        <v>265402.5</v>
      </c>
      <c r="W65" s="28">
        <f t="shared" si="243"/>
        <v>291087.5</v>
      </c>
      <c r="X65" s="28">
        <f t="shared" si="243"/>
        <v>317350</v>
      </c>
      <c r="Y65" s="28">
        <f t="shared" si="243"/>
        <v>344245</v>
      </c>
      <c r="Z65" s="28">
        <f t="shared" si="243"/>
        <v>372130</v>
      </c>
      <c r="AA65" s="28">
        <f t="shared" si="243"/>
        <v>401005</v>
      </c>
      <c r="AB65" s="28">
        <f t="shared" si="243"/>
        <v>431172.5</v>
      </c>
      <c r="AC65" s="28">
        <f t="shared" si="243"/>
        <v>462275</v>
      </c>
      <c r="AD65" s="28">
        <f t="shared" si="243"/>
        <v>494587.5</v>
      </c>
      <c r="AE65" s="28">
        <f t="shared" ref="AE65" si="244">AD65-AE23</f>
        <v>529320</v>
      </c>
      <c r="AF65" s="28">
        <f t="shared" ref="AF65" si="245">AE65-AF23</f>
        <v>566417.5</v>
      </c>
      <c r="AG65" s="28">
        <f t="shared" ref="AG65" si="246">AF65-AG23</f>
        <v>606127.5</v>
      </c>
      <c r="AH65" s="28">
        <f t="shared" ref="AH65" si="247">AG65-AH23</f>
        <v>648670</v>
      </c>
      <c r="AI65" s="28">
        <f t="shared" ref="AI65" si="248">AH65-AI23</f>
        <v>694237.5</v>
      </c>
      <c r="AJ65" s="28">
        <f t="shared" ref="AJ65" si="249">AI65-AJ23</f>
        <v>742967.5</v>
      </c>
      <c r="AK65" s="28">
        <f t="shared" ref="AK65" si="250">AJ65-AK23</f>
        <v>794970</v>
      </c>
      <c r="AL65" s="28">
        <f t="shared" ref="AL65" si="251">AK65-AL23</f>
        <v>850355</v>
      </c>
      <c r="AM65" s="28">
        <f t="shared" ref="AM65" si="252">AL65-AM23</f>
        <v>909507.5</v>
      </c>
      <c r="AN65" s="28">
        <f t="shared" ref="AN65" si="253">AM65-AN23</f>
        <v>973087.5</v>
      </c>
      <c r="AO65" s="28">
        <f t="shared" ref="AO65" si="254">AN65-AO23</f>
        <v>1041342.5</v>
      </c>
      <c r="AP65" s="28">
        <f t="shared" ref="AP65" si="255">AO65-AP23</f>
        <v>1114190</v>
      </c>
      <c r="AQ65" s="28">
        <f t="shared" ref="AQ65" si="256">AP65-AQ23</f>
        <v>1191850</v>
      </c>
      <c r="AR65" s="28">
        <f t="shared" ref="AR65" si="257">AQ65-AR23</f>
        <v>1275092.5</v>
      </c>
      <c r="AS65" s="28">
        <f t="shared" ref="AS65" si="258">AR65-AS23</f>
        <v>1364302.5</v>
      </c>
      <c r="AT65" s="28">
        <f t="shared" ref="AT65" si="259">AS65-AT23</f>
        <v>1459507.5</v>
      </c>
      <c r="AU65" s="28">
        <f t="shared" ref="AU65" si="260">AT65-AU23</f>
        <v>1561615</v>
      </c>
      <c r="AV65" s="28">
        <f t="shared" ref="AV65" si="261">AU65-AV23</f>
        <v>1671120</v>
      </c>
      <c r="AW65" s="28">
        <f t="shared" ref="AW65" si="262">AV65-AW23</f>
        <v>1788132.5</v>
      </c>
      <c r="AX65" s="28">
        <f t="shared" ref="AX65" si="263">AW65-AX23</f>
        <v>1913312.5</v>
      </c>
      <c r="AY65" s="28">
        <f t="shared" ref="AY65" si="264">AX65-AY23</f>
        <v>2047237.5</v>
      </c>
      <c r="AZ65" s="28">
        <f t="shared" ref="AZ65" si="265">AY65-AZ23</f>
        <v>2190732.5</v>
      </c>
      <c r="BA65" s="28">
        <f t="shared" ref="BA65" si="266">AZ65-BA23</f>
        <v>2344512.5</v>
      </c>
      <c r="BB65" s="28">
        <f t="shared" ref="BB65" si="267">BA65-BB23</f>
        <v>2509155</v>
      </c>
      <c r="BC65" s="28">
        <f t="shared" ref="BC65" si="268">BB65-BC23</f>
        <v>2685127.5</v>
      </c>
      <c r="BD65" s="28">
        <f t="shared" ref="BD65" si="269">BC65-BD23</f>
        <v>2873447.5</v>
      </c>
      <c r="BE65" s="28">
        <f t="shared" ref="BE65" si="270">BD65-BE23</f>
        <v>3074692.5</v>
      </c>
      <c r="BF65" s="28">
        <f t="shared" ref="BF65" si="271">BE65-BF23</f>
        <v>3290210</v>
      </c>
      <c r="BG65" s="28">
        <f t="shared" ref="BG65" si="272">BF65-BG23</f>
        <v>3520907.5</v>
      </c>
      <c r="BH65" s="28">
        <f t="shared" ref="BH65" si="273">BG65-BH23</f>
        <v>3767857.5</v>
      </c>
      <c r="BI65" s="28">
        <f t="shared" ref="BI65" si="274">BH65-BI23</f>
        <v>4031940</v>
      </c>
      <c r="BJ65" s="28">
        <f t="shared" ref="BJ65" si="275">BI65-BJ23</f>
        <v>4314502.5</v>
      </c>
      <c r="BK65" s="28">
        <f t="shared" ref="BK65" si="276">BJ65-BK23</f>
        <v>4616700</v>
      </c>
      <c r="BL65" s="28">
        <f t="shared" ref="BL65" si="277">BK65-BL23</f>
        <v>4939825</v>
      </c>
      <c r="BM65" s="28">
        <f t="shared" ref="BM65" si="278">BL65-BM23</f>
        <v>5285582.5</v>
      </c>
      <c r="BN65" s="28">
        <f t="shared" ref="BN65" si="279">BM65-BN23</f>
        <v>5655732.5</v>
      </c>
    </row>
    <row r="66" spans="1:66" x14ac:dyDescent="0.3">
      <c r="C66" s="31" t="s">
        <v>124</v>
      </c>
      <c r="D66" s="32"/>
      <c r="E66" s="32"/>
      <c r="F66" s="32"/>
      <c r="G66" s="39">
        <f t="shared" ref="G66:AD66" si="280">SUM(G64,G63,G65)</f>
        <v>23209</v>
      </c>
      <c r="H66" s="39">
        <f t="shared" si="280"/>
        <v>46053.1</v>
      </c>
      <c r="I66" s="39">
        <f t="shared" si="280"/>
        <v>68562.7</v>
      </c>
      <c r="J66" s="39">
        <f t="shared" si="280"/>
        <v>89615</v>
      </c>
      <c r="K66" s="39">
        <f t="shared" si="280"/>
        <v>111300</v>
      </c>
      <c r="L66" s="39">
        <f t="shared" si="280"/>
        <v>132768.75</v>
      </c>
      <c r="M66" s="39">
        <f t="shared" si="280"/>
        <v>152133.4</v>
      </c>
      <c r="N66" s="39">
        <f t="shared" si="280"/>
        <v>172977.3</v>
      </c>
      <c r="O66" s="39">
        <f t="shared" si="280"/>
        <v>193669.8</v>
      </c>
      <c r="P66" s="39">
        <f t="shared" si="280"/>
        <v>211578.5</v>
      </c>
      <c r="Q66" s="39">
        <f t="shared" si="280"/>
        <v>231807.69999999998</v>
      </c>
      <c r="R66" s="39">
        <f t="shared" si="280"/>
        <v>252080.3</v>
      </c>
      <c r="S66" s="39">
        <f t="shared" si="280"/>
        <v>280024.8</v>
      </c>
      <c r="T66" s="39">
        <f t="shared" si="280"/>
        <v>312735.5</v>
      </c>
      <c r="U66" s="39">
        <f t="shared" si="280"/>
        <v>346832.19999999995</v>
      </c>
      <c r="V66" s="39">
        <f t="shared" si="280"/>
        <v>377189.69999999995</v>
      </c>
      <c r="W66" s="39">
        <f t="shared" si="280"/>
        <v>414044.6</v>
      </c>
      <c r="X66" s="39">
        <f t="shared" si="280"/>
        <v>452393.65</v>
      </c>
      <c r="Y66" s="39">
        <f t="shared" si="280"/>
        <v>485347</v>
      </c>
      <c r="Z66" s="39">
        <f t="shared" si="280"/>
        <v>526804</v>
      </c>
      <c r="AA66" s="39">
        <f t="shared" si="280"/>
        <v>570403</v>
      </c>
      <c r="AB66" s="39">
        <f t="shared" si="280"/>
        <v>607350.94999999995</v>
      </c>
      <c r="AC66" s="39">
        <f t="shared" si="280"/>
        <v>655034.75</v>
      </c>
      <c r="AD66" s="39">
        <f t="shared" si="280"/>
        <v>705325.05</v>
      </c>
      <c r="AE66" s="39">
        <f t="shared" ref="AE66:BN66" si="281">SUM(AE64,AE63,AE65)</f>
        <v>746472.9</v>
      </c>
      <c r="AF66" s="39">
        <f t="shared" si="281"/>
        <v>802627</v>
      </c>
      <c r="AG66" s="39">
        <f t="shared" si="281"/>
        <v>863102.7</v>
      </c>
      <c r="AH66" s="39">
        <f t="shared" si="281"/>
        <v>912776.05</v>
      </c>
      <c r="AI66" s="39">
        <f t="shared" si="281"/>
        <v>981635.25</v>
      </c>
      <c r="AJ66" s="39">
        <f t="shared" si="281"/>
        <v>1055781.1000000001</v>
      </c>
      <c r="AK66" s="39">
        <f t="shared" si="281"/>
        <v>1115473.2</v>
      </c>
      <c r="AL66" s="39">
        <f t="shared" si="281"/>
        <v>1199291</v>
      </c>
      <c r="AM66" s="39">
        <f t="shared" si="281"/>
        <v>1289444.3</v>
      </c>
      <c r="AN66" s="39">
        <f t="shared" si="281"/>
        <v>1360960.5</v>
      </c>
      <c r="AO66" s="39">
        <f t="shared" si="281"/>
        <v>1463834</v>
      </c>
      <c r="AP66" s="39">
        <f t="shared" si="281"/>
        <v>1574452.25</v>
      </c>
      <c r="AQ66" s="39">
        <f t="shared" si="281"/>
        <v>1659872.8</v>
      </c>
      <c r="AR66" s="39">
        <f t="shared" si="281"/>
        <v>1785121.6</v>
      </c>
      <c r="AS66" s="39">
        <f t="shared" si="281"/>
        <v>1920222.9</v>
      </c>
      <c r="AT66" s="39">
        <f t="shared" si="281"/>
        <v>2022219</v>
      </c>
      <c r="AU66" s="39">
        <f t="shared" si="281"/>
        <v>2175149.35</v>
      </c>
      <c r="AV66" s="39">
        <f t="shared" si="281"/>
        <v>2340192.2999999998</v>
      </c>
      <c r="AW66" s="39">
        <f t="shared" si="281"/>
        <v>2461762.7000000002</v>
      </c>
      <c r="AX66" s="39">
        <f t="shared" si="281"/>
        <v>2648194.9</v>
      </c>
      <c r="AY66" s="39">
        <f t="shared" si="281"/>
        <v>2849069.1</v>
      </c>
      <c r="AZ66" s="39">
        <f t="shared" si="281"/>
        <v>2992807.4</v>
      </c>
      <c r="BA66" s="39">
        <f t="shared" si="281"/>
        <v>3219910.1</v>
      </c>
      <c r="BB66" s="39">
        <f t="shared" si="281"/>
        <v>3464740.95</v>
      </c>
      <c r="BC66" s="39">
        <f t="shared" si="281"/>
        <v>3633570</v>
      </c>
      <c r="BD66" s="39">
        <f t="shared" si="281"/>
        <v>3909107.5</v>
      </c>
      <c r="BE66" s="39">
        <f t="shared" si="281"/>
        <v>4205719.5</v>
      </c>
      <c r="BF66" s="39">
        <f t="shared" si="281"/>
        <v>4402049.75</v>
      </c>
      <c r="BG66" s="39">
        <f t="shared" si="281"/>
        <v>4735503.8499999996</v>
      </c>
      <c r="BH66" s="39">
        <f t="shared" si="281"/>
        <v>5094902.0999999996</v>
      </c>
      <c r="BI66" s="39">
        <f t="shared" si="281"/>
        <v>5320916.4000000004</v>
      </c>
      <c r="BJ66" s="39">
        <f t="shared" si="281"/>
        <v>5723214.9000000004</v>
      </c>
      <c r="BK66" s="39">
        <f t="shared" si="281"/>
        <v>6156474</v>
      </c>
      <c r="BL66" s="39">
        <f t="shared" si="281"/>
        <v>6412653.7000000002</v>
      </c>
      <c r="BM66" s="39">
        <f t="shared" si="281"/>
        <v>6895834.1500000004</v>
      </c>
      <c r="BN66" s="39">
        <f t="shared" si="281"/>
        <v>7416464.9000000004</v>
      </c>
    </row>
    <row r="68" spans="1:66" x14ac:dyDescent="0.3">
      <c r="B68" s="22" t="s">
        <v>0</v>
      </c>
      <c r="C68" s="4" t="s">
        <v>121</v>
      </c>
    </row>
    <row r="69" spans="1:66" ht="3" customHeight="1" x14ac:dyDescent="0.3">
      <c r="B69" s="22"/>
      <c r="C69" s="4"/>
    </row>
    <row r="70" spans="1:66" x14ac:dyDescent="0.3">
      <c r="B70" s="22"/>
      <c r="C70" t="s">
        <v>121</v>
      </c>
      <c r="G70" s="37">
        <f>G103</f>
        <v>1000000</v>
      </c>
      <c r="H70" s="76">
        <f t="shared" ref="H70:AD70" si="282">G70+H103</f>
        <v>1000000</v>
      </c>
      <c r="I70" s="76">
        <f t="shared" si="282"/>
        <v>1000000</v>
      </c>
      <c r="J70" s="76">
        <f t="shared" si="282"/>
        <v>1000000</v>
      </c>
      <c r="K70" s="76">
        <f t="shared" si="282"/>
        <v>1000000</v>
      </c>
      <c r="L70" s="76">
        <f t="shared" si="282"/>
        <v>1000000</v>
      </c>
      <c r="M70" s="76">
        <f t="shared" si="282"/>
        <v>1000000</v>
      </c>
      <c r="N70" s="76">
        <f t="shared" si="282"/>
        <v>1000000</v>
      </c>
      <c r="O70" s="76">
        <f t="shared" si="282"/>
        <v>1000000</v>
      </c>
      <c r="P70" s="76">
        <f t="shared" si="282"/>
        <v>1000000</v>
      </c>
      <c r="Q70" s="76">
        <f t="shared" si="282"/>
        <v>22399063.524993867</v>
      </c>
      <c r="R70" s="76">
        <f t="shared" si="282"/>
        <v>22399063.524993867</v>
      </c>
      <c r="S70" s="76">
        <f t="shared" si="282"/>
        <v>22399063.524993867</v>
      </c>
      <c r="T70" s="76">
        <f t="shared" si="282"/>
        <v>22399063.524993867</v>
      </c>
      <c r="U70" s="76">
        <f t="shared" si="282"/>
        <v>22399063.524993867</v>
      </c>
      <c r="V70" s="76">
        <f t="shared" si="282"/>
        <v>22399063.524993867</v>
      </c>
      <c r="W70" s="76">
        <f t="shared" si="282"/>
        <v>22399063.524993867</v>
      </c>
      <c r="X70" s="76">
        <f t="shared" si="282"/>
        <v>22399063.524993867</v>
      </c>
      <c r="Y70" s="76">
        <f t="shared" si="282"/>
        <v>22399063.524993867</v>
      </c>
      <c r="Z70" s="76">
        <f t="shared" si="282"/>
        <v>22399063.524993867</v>
      </c>
      <c r="AA70" s="76">
        <f t="shared" si="282"/>
        <v>22399063.524993867</v>
      </c>
      <c r="AB70" s="76">
        <f t="shared" si="282"/>
        <v>22399063.524993867</v>
      </c>
      <c r="AC70" s="76">
        <f t="shared" si="282"/>
        <v>22399063.524993867</v>
      </c>
      <c r="AD70" s="76">
        <f t="shared" si="282"/>
        <v>22399063.524993867</v>
      </c>
      <c r="AE70" s="76">
        <f t="shared" ref="AE70" si="283">AD70+AE103</f>
        <v>22399063.524993867</v>
      </c>
      <c r="AF70" s="76">
        <f t="shared" ref="AF70" si="284">AE70+AF103</f>
        <v>22399063.524993867</v>
      </c>
      <c r="AG70" s="76">
        <f t="shared" ref="AG70" si="285">AF70+AG103</f>
        <v>22399063.524993867</v>
      </c>
      <c r="AH70" s="76">
        <f t="shared" ref="AH70" si="286">AG70+AH103</f>
        <v>22399063.524993867</v>
      </c>
      <c r="AI70" s="76">
        <f t="shared" ref="AI70" si="287">AH70+AI103</f>
        <v>22399063.524993867</v>
      </c>
      <c r="AJ70" s="76">
        <f t="shared" ref="AJ70" si="288">AI70+AJ103</f>
        <v>22399063.524993867</v>
      </c>
      <c r="AK70" s="76">
        <f t="shared" ref="AK70" si="289">AJ70+AK103</f>
        <v>22399063.524993867</v>
      </c>
      <c r="AL70" s="76">
        <f t="shared" ref="AL70" si="290">AK70+AL103</f>
        <v>22399063.524993867</v>
      </c>
      <c r="AM70" s="76">
        <f t="shared" ref="AM70" si="291">AL70+AM103</f>
        <v>22399063.524993867</v>
      </c>
      <c r="AN70" s="76">
        <f t="shared" ref="AN70" si="292">AM70+AN103</f>
        <v>22399063.524993867</v>
      </c>
      <c r="AO70" s="76">
        <f t="shared" ref="AO70" si="293">AN70+AO103</f>
        <v>22399063.524993867</v>
      </c>
      <c r="AP70" s="76">
        <f t="shared" ref="AP70" si="294">AO70+AP103</f>
        <v>22399063.524993867</v>
      </c>
      <c r="AQ70" s="76">
        <f t="shared" ref="AQ70" si="295">AP70+AQ103</f>
        <v>22399063.524993867</v>
      </c>
      <c r="AR70" s="76">
        <f t="shared" ref="AR70" si="296">AQ70+AR103</f>
        <v>22399063.524993867</v>
      </c>
      <c r="AS70" s="76">
        <f t="shared" ref="AS70" si="297">AR70+AS103</f>
        <v>22399063.524993867</v>
      </c>
      <c r="AT70" s="76">
        <f t="shared" ref="AT70" si="298">AS70+AT103</f>
        <v>22399063.524993867</v>
      </c>
      <c r="AU70" s="76">
        <f t="shared" ref="AU70" si="299">AT70+AU103</f>
        <v>22399063.524993867</v>
      </c>
      <c r="AV70" s="76">
        <f t="shared" ref="AV70" si="300">AU70+AV103</f>
        <v>22399063.524993867</v>
      </c>
      <c r="AW70" s="76">
        <f t="shared" ref="AW70" si="301">AV70+AW103</f>
        <v>22399063.524993867</v>
      </c>
      <c r="AX70" s="76">
        <f t="shared" ref="AX70" si="302">AW70+AX103</f>
        <v>22399063.524993867</v>
      </c>
      <c r="AY70" s="76">
        <f t="shared" ref="AY70" si="303">AX70+AY103</f>
        <v>22399063.524993867</v>
      </c>
      <c r="AZ70" s="76">
        <f t="shared" ref="AZ70" si="304">AY70+AZ103</f>
        <v>22399063.524993867</v>
      </c>
      <c r="BA70" s="76">
        <f t="shared" ref="BA70" si="305">AZ70+BA103</f>
        <v>22399063.524993867</v>
      </c>
      <c r="BB70" s="76">
        <f t="shared" ref="BB70" si="306">BA70+BB103</f>
        <v>22399063.524993867</v>
      </c>
      <c r="BC70" s="76">
        <f t="shared" ref="BC70" si="307">BB70+BC103</f>
        <v>22399063.524993867</v>
      </c>
      <c r="BD70" s="76">
        <f t="shared" ref="BD70" si="308">BC70+BD103</f>
        <v>22399063.524993867</v>
      </c>
      <c r="BE70" s="76">
        <f t="shared" ref="BE70" si="309">BD70+BE103</f>
        <v>22399063.524993867</v>
      </c>
      <c r="BF70" s="76">
        <f t="shared" ref="BF70" si="310">BE70+BF103</f>
        <v>22399063.524993867</v>
      </c>
      <c r="BG70" s="76">
        <f t="shared" ref="BG70" si="311">BF70+BG103</f>
        <v>22399063.524993867</v>
      </c>
      <c r="BH70" s="76">
        <f t="shared" ref="BH70" si="312">BG70+BH103</f>
        <v>22399063.524993867</v>
      </c>
      <c r="BI70" s="76">
        <f t="shared" ref="BI70" si="313">BH70+BI103</f>
        <v>22399063.524993867</v>
      </c>
      <c r="BJ70" s="76">
        <f t="shared" ref="BJ70" si="314">BI70+BJ103</f>
        <v>22399063.524993867</v>
      </c>
      <c r="BK70" s="76">
        <f t="shared" ref="BK70" si="315">BJ70+BK103</f>
        <v>22399063.524993867</v>
      </c>
      <c r="BL70" s="76">
        <f t="shared" ref="BL70" si="316">BK70+BL103</f>
        <v>22399063.524993867</v>
      </c>
      <c r="BM70" s="76">
        <f t="shared" ref="BM70" si="317">BL70+BM103</f>
        <v>22399063.524993867</v>
      </c>
      <c r="BN70" s="76">
        <f t="shared" ref="BN70" si="318">BM70+BN103</f>
        <v>22399063.524993867</v>
      </c>
    </row>
    <row r="71" spans="1:66" x14ac:dyDescent="0.3">
      <c r="B71" s="22"/>
      <c r="C71" t="s">
        <v>128</v>
      </c>
      <c r="G71" s="27">
        <f>G51</f>
        <v>-84882.75</v>
      </c>
      <c r="H71" s="30">
        <f t="shared" ref="H71:AD71" si="319">G71+H51</f>
        <v>-168377.85</v>
      </c>
      <c r="I71" s="30">
        <f t="shared" si="319"/>
        <v>-250548.3</v>
      </c>
      <c r="J71" s="30">
        <f t="shared" si="319"/>
        <v>-348455.1</v>
      </c>
      <c r="K71" s="30">
        <f t="shared" si="319"/>
        <v>-445208.5</v>
      </c>
      <c r="L71" s="30">
        <f t="shared" si="319"/>
        <v>-540779.55000000005</v>
      </c>
      <c r="M71" s="30">
        <f t="shared" si="319"/>
        <v>-657952.66</v>
      </c>
      <c r="N71" s="30">
        <f t="shared" si="319"/>
        <v>-773954.45000000007</v>
      </c>
      <c r="O71" s="30">
        <f t="shared" si="319"/>
        <v>-888732.32000000007</v>
      </c>
      <c r="P71" s="30">
        <f t="shared" si="319"/>
        <v>-1036779.9021000001</v>
      </c>
      <c r="Q71" s="30">
        <f t="shared" si="319"/>
        <v>-1183399.1139</v>
      </c>
      <c r="R71" s="30">
        <f t="shared" si="319"/>
        <v>-1334625.7649999999</v>
      </c>
      <c r="S71" s="30">
        <f t="shared" si="319"/>
        <v>-1504816.9410629999</v>
      </c>
      <c r="T71" s="30">
        <f t="shared" si="319"/>
        <v>-1673659.8116839998</v>
      </c>
      <c r="U71" s="30">
        <f t="shared" si="319"/>
        <v>-1840988.9787379999</v>
      </c>
      <c r="V71" s="30">
        <f t="shared" si="319"/>
        <v>-2047852.2563692799</v>
      </c>
      <c r="W71" s="30">
        <f t="shared" si="319"/>
        <v>-2252940.6914196</v>
      </c>
      <c r="X71" s="30">
        <f t="shared" si="319"/>
        <v>-2455944.4306702102</v>
      </c>
      <c r="Y71" s="30">
        <f t="shared" si="319"/>
        <v>-2679838.2679738812</v>
      </c>
      <c r="Z71" s="30">
        <f t="shared" si="319"/>
        <v>-2919147.3419434931</v>
      </c>
      <c r="AA71" s="30">
        <f t="shared" si="319"/>
        <v>-3155690.5929253437</v>
      </c>
      <c r="AB71" s="30">
        <f t="shared" si="319"/>
        <v>-3412539.5457968162</v>
      </c>
      <c r="AC71" s="30">
        <f t="shared" si="319"/>
        <v>-3683816.8786554169</v>
      </c>
      <c r="AD71" s="30">
        <f t="shared" si="319"/>
        <v>-3971670.5654477575</v>
      </c>
      <c r="AE71" s="30">
        <f t="shared" ref="AE71" si="320">AD71+AE51</f>
        <v>-4270340.1542028496</v>
      </c>
      <c r="AF71" s="30">
        <f t="shared" ref="AF71" si="321">AE71+AF51</f>
        <v>-4588815.4082341651</v>
      </c>
      <c r="AG71" s="30">
        <f t="shared" ref="AG71" si="322">AF71+AG51</f>
        <v>-4908663.2796017518</v>
      </c>
      <c r="AH71" s="30">
        <f t="shared" ref="AH71" si="323">AG71+AH51</f>
        <v>-5263326.7641841453</v>
      </c>
      <c r="AI71" s="30">
        <f t="shared" ref="AI71" si="324">AH71+AI51</f>
        <v>-5611950.0508828312</v>
      </c>
      <c r="AJ71" s="30">
        <f t="shared" ref="AJ71" si="325">AI71+AJ51</f>
        <v>-5978031.6564129405</v>
      </c>
      <c r="AK71" s="30">
        <f t="shared" ref="AK71" si="326">AJ71+AK51</f>
        <v>-6374050.2674828563</v>
      </c>
      <c r="AL71" s="30">
        <f t="shared" ref="AL71" si="327">AK71+AL51</f>
        <v>-6768972.9834348056</v>
      </c>
      <c r="AM71" s="30">
        <f t="shared" ref="AM71" si="328">AL71+AM51</f>
        <v>-7184606.5030223271</v>
      </c>
      <c r="AN71" s="30">
        <f t="shared" ref="AN71" si="329">AM71+AN51</f>
        <v>-7625840.4663018547</v>
      </c>
      <c r="AO71" s="30">
        <f t="shared" ref="AO71" si="330">AN71+AO51</f>
        <v>-8080703.7716121944</v>
      </c>
      <c r="AP71" s="30">
        <f t="shared" ref="AP71" si="331">AO71+AP51</f>
        <v>-8553128.5447083618</v>
      </c>
      <c r="AQ71" s="30">
        <f t="shared" ref="AQ71" si="332">AP71+AQ51</f>
        <v>-9041662.1636721995</v>
      </c>
      <c r="AR71" s="30">
        <f t="shared" ref="AR71" si="333">AQ71+AR51</f>
        <v>-9545541.9793585837</v>
      </c>
      <c r="AS71" s="30">
        <f t="shared" ref="AS71" si="334">AR71+AS51</f>
        <v>-10061765.430429569</v>
      </c>
      <c r="AT71" s="30">
        <f t="shared" ref="AT71" si="335">AS71+AT51</f>
        <v>-10614543.764585402</v>
      </c>
      <c r="AU71" s="30">
        <f t="shared" ref="AU71" si="336">AT71+AU51</f>
        <v>-11180441.870104693</v>
      </c>
      <c r="AV71" s="30">
        <f t="shared" ref="AV71" si="337">AU71+AV51</f>
        <v>-11771253.559367709</v>
      </c>
      <c r="AW71" s="30">
        <f t="shared" ref="AW71" si="338">AV71+AW51</f>
        <v>-12393757.457986116</v>
      </c>
      <c r="AX71" s="30">
        <f t="shared" ref="AX71" si="339">AW71+AX51</f>
        <v>-13039335.401935311</v>
      </c>
      <c r="AY71" s="30">
        <f t="shared" ref="AY71" si="340">AX71+AY51</f>
        <v>-13706860.69739042</v>
      </c>
      <c r="AZ71" s="30">
        <f t="shared" ref="AZ71" si="341">AY71+AZ51</f>
        <v>-14415689.148656819</v>
      </c>
      <c r="BA71" s="30">
        <f t="shared" ref="BA71" si="342">AZ71+BA51</f>
        <v>-15143372.97800873</v>
      </c>
      <c r="BB71" s="30">
        <f t="shared" ref="BB71" si="343">BA71+BB51</f>
        <v>-15904282.193492172</v>
      </c>
      <c r="BC71" s="30">
        <f t="shared" ref="BC71" si="344">BB71+BC51</f>
        <v>-16685416.447126333</v>
      </c>
      <c r="BD71" s="30">
        <f t="shared" ref="BD71" si="345">BC71+BD51</f>
        <v>-17511302.106606081</v>
      </c>
      <c r="BE71" s="30">
        <f t="shared" ref="BE71" si="346">BD71+BE51</f>
        <v>-18376190.329063538</v>
      </c>
      <c r="BF71" s="30">
        <f t="shared" ref="BF71" si="347">BE71+BF51</f>
        <v>-19275027.038839959</v>
      </c>
      <c r="BG71" s="30">
        <f t="shared" ref="BG71" si="348">BF71+BG51</f>
        <v>-20203330.711106047</v>
      </c>
      <c r="BH71" s="30">
        <f t="shared" ref="BH71" si="349">BG71+BH51</f>
        <v>-21184420.175454043</v>
      </c>
      <c r="BI71" s="30">
        <f t="shared" ref="BI71" si="350">BH71+BI51</f>
        <v>-22207844.125150863</v>
      </c>
      <c r="BJ71" s="30">
        <f t="shared" ref="BJ71" si="351">BI71+BJ51</f>
        <v>-23280844.857832488</v>
      </c>
      <c r="BK71" s="30">
        <f t="shared" ref="BK71" si="352">BJ71+BK51</f>
        <v>-24404947.281960107</v>
      </c>
      <c r="BL71" s="30">
        <f t="shared" ref="BL71" si="353">BK71+BL51</f>
        <v>-25576001.091460556</v>
      </c>
      <c r="BM71" s="30">
        <f t="shared" ref="BM71" si="354">BL71+BM51</f>
        <v>-26817601.968341909</v>
      </c>
      <c r="BN71" s="30">
        <f t="shared" ref="BN71" si="355">BM71+BN51</f>
        <v>-28116825.091660526</v>
      </c>
    </row>
    <row r="72" spans="1:66" ht="3" customHeight="1" x14ac:dyDescent="0.3"/>
    <row r="73" spans="1:66" x14ac:dyDescent="0.3">
      <c r="C73" s="35" t="s">
        <v>125</v>
      </c>
      <c r="D73" s="47"/>
      <c r="E73" s="47"/>
      <c r="F73" s="47"/>
      <c r="G73" s="40">
        <f>SUM(G70,G71)</f>
        <v>915117.25</v>
      </c>
      <c r="H73" s="40">
        <f t="shared" ref="H73:AD73" si="356">SUM(H70,H71)</f>
        <v>831622.15</v>
      </c>
      <c r="I73" s="40">
        <f t="shared" si="356"/>
        <v>749451.7</v>
      </c>
      <c r="J73" s="40">
        <f t="shared" si="356"/>
        <v>651544.9</v>
      </c>
      <c r="K73" s="40">
        <f t="shared" si="356"/>
        <v>554791.5</v>
      </c>
      <c r="L73" s="40">
        <f t="shared" si="356"/>
        <v>459220.44999999995</v>
      </c>
      <c r="M73" s="40">
        <f t="shared" si="356"/>
        <v>342047.33999999997</v>
      </c>
      <c r="N73" s="40">
        <f t="shared" si="356"/>
        <v>226045.54999999993</v>
      </c>
      <c r="O73" s="40">
        <f t="shared" si="356"/>
        <v>111267.67999999993</v>
      </c>
      <c r="P73" s="40">
        <f t="shared" si="356"/>
        <v>-36779.902100000065</v>
      </c>
      <c r="Q73" s="40">
        <f t="shared" si="356"/>
        <v>21215664.411093868</v>
      </c>
      <c r="R73" s="40">
        <f t="shared" si="356"/>
        <v>21064437.759993866</v>
      </c>
      <c r="S73" s="40">
        <f t="shared" si="356"/>
        <v>20894246.583930865</v>
      </c>
      <c r="T73" s="40">
        <f t="shared" si="356"/>
        <v>20725403.713309865</v>
      </c>
      <c r="U73" s="40">
        <f t="shared" si="356"/>
        <v>20558074.546255868</v>
      </c>
      <c r="V73" s="40">
        <f t="shared" si="356"/>
        <v>20351211.268624585</v>
      </c>
      <c r="W73" s="40">
        <f t="shared" si="356"/>
        <v>20146122.833574265</v>
      </c>
      <c r="X73" s="40">
        <f t="shared" si="356"/>
        <v>19943119.094323657</v>
      </c>
      <c r="Y73" s="40">
        <f t="shared" si="356"/>
        <v>19719225.257019985</v>
      </c>
      <c r="Z73" s="40">
        <f t="shared" si="356"/>
        <v>19479916.183050372</v>
      </c>
      <c r="AA73" s="40">
        <f t="shared" si="356"/>
        <v>19243372.932068523</v>
      </c>
      <c r="AB73" s="40">
        <f t="shared" si="356"/>
        <v>18986523.979197051</v>
      </c>
      <c r="AC73" s="40">
        <f t="shared" si="356"/>
        <v>18715246.646338448</v>
      </c>
      <c r="AD73" s="40">
        <f t="shared" si="356"/>
        <v>18427392.959546108</v>
      </c>
      <c r="AE73" s="40">
        <f t="shared" ref="AE73:BN73" si="357">SUM(AE70,AE71)</f>
        <v>18128723.370791018</v>
      </c>
      <c r="AF73" s="40">
        <f t="shared" si="357"/>
        <v>17810248.116759703</v>
      </c>
      <c r="AG73" s="40">
        <f t="shared" si="357"/>
        <v>17490400.245392114</v>
      </c>
      <c r="AH73" s="40">
        <f t="shared" si="357"/>
        <v>17135736.76080972</v>
      </c>
      <c r="AI73" s="40">
        <f t="shared" si="357"/>
        <v>16787113.474111035</v>
      </c>
      <c r="AJ73" s="40">
        <f t="shared" si="357"/>
        <v>16421031.868580926</v>
      </c>
      <c r="AK73" s="40">
        <f t="shared" si="357"/>
        <v>16025013.25751101</v>
      </c>
      <c r="AL73" s="40">
        <f t="shared" si="357"/>
        <v>15630090.541559061</v>
      </c>
      <c r="AM73" s="40">
        <f t="shared" si="357"/>
        <v>15214457.021971539</v>
      </c>
      <c r="AN73" s="40">
        <f t="shared" si="357"/>
        <v>14773223.058692012</v>
      </c>
      <c r="AO73" s="40">
        <f t="shared" si="357"/>
        <v>14318359.753381673</v>
      </c>
      <c r="AP73" s="40">
        <f t="shared" si="357"/>
        <v>13845934.980285505</v>
      </c>
      <c r="AQ73" s="40">
        <f t="shared" si="357"/>
        <v>13357401.361321667</v>
      </c>
      <c r="AR73" s="40">
        <f t="shared" si="357"/>
        <v>12853521.545635283</v>
      </c>
      <c r="AS73" s="40">
        <f t="shared" si="357"/>
        <v>12337298.094564298</v>
      </c>
      <c r="AT73" s="40">
        <f t="shared" si="357"/>
        <v>11784519.760408465</v>
      </c>
      <c r="AU73" s="40">
        <f t="shared" si="357"/>
        <v>11218621.654889174</v>
      </c>
      <c r="AV73" s="40">
        <f t="shared" si="357"/>
        <v>10627809.965626158</v>
      </c>
      <c r="AW73" s="40">
        <f t="shared" si="357"/>
        <v>10005306.06700775</v>
      </c>
      <c r="AX73" s="40">
        <f t="shared" si="357"/>
        <v>9359728.1230585556</v>
      </c>
      <c r="AY73" s="40">
        <f t="shared" si="357"/>
        <v>8692202.8276034463</v>
      </c>
      <c r="AZ73" s="40">
        <f t="shared" si="357"/>
        <v>7983374.3763370477</v>
      </c>
      <c r="BA73" s="40">
        <f t="shared" si="357"/>
        <v>7255690.5469851363</v>
      </c>
      <c r="BB73" s="40">
        <f t="shared" si="357"/>
        <v>6494781.3315016944</v>
      </c>
      <c r="BC73" s="40">
        <f t="shared" si="357"/>
        <v>5713647.077867534</v>
      </c>
      <c r="BD73" s="40">
        <f t="shared" si="357"/>
        <v>4887761.4183877856</v>
      </c>
      <c r="BE73" s="40">
        <f t="shared" si="357"/>
        <v>4022873.1959303282</v>
      </c>
      <c r="BF73" s="40">
        <f t="shared" si="357"/>
        <v>3124036.4861539081</v>
      </c>
      <c r="BG73" s="40">
        <f t="shared" si="357"/>
        <v>2195732.8138878196</v>
      </c>
      <c r="BH73" s="40">
        <f t="shared" si="357"/>
        <v>1214643.3495398238</v>
      </c>
      <c r="BI73" s="40">
        <f t="shared" si="357"/>
        <v>191219.3998430036</v>
      </c>
      <c r="BJ73" s="40">
        <f t="shared" si="357"/>
        <v>-881781.33283862099</v>
      </c>
      <c r="BK73" s="40">
        <f t="shared" si="357"/>
        <v>-2005883.7569662407</v>
      </c>
      <c r="BL73" s="40">
        <f t="shared" si="357"/>
        <v>-3176937.5664666891</v>
      </c>
      <c r="BM73" s="40">
        <f t="shared" si="357"/>
        <v>-4418538.4433480427</v>
      </c>
      <c r="BN73" s="40">
        <f t="shared" si="357"/>
        <v>-5717761.566666659</v>
      </c>
    </row>
    <row r="74" spans="1:66" ht="3" customHeight="1" x14ac:dyDescent="0.3"/>
    <row r="75" spans="1:66" x14ac:dyDescent="0.3">
      <c r="C75" s="6" t="s">
        <v>119</v>
      </c>
      <c r="E75" s="6" t="b" cm="1">
        <f t="array" ref="E75">AND(ABS(G75:AD75) &lt; 0.000001)</f>
        <v>1</v>
      </c>
      <c r="G75" s="30">
        <f t="shared" ref="G75:AD75" si="358">G59-G66-G73</f>
        <v>0</v>
      </c>
      <c r="H75" s="30">
        <f t="shared" si="358"/>
        <v>0</v>
      </c>
      <c r="I75" s="30">
        <f t="shared" si="358"/>
        <v>0</v>
      </c>
      <c r="J75" s="30">
        <f t="shared" si="358"/>
        <v>0</v>
      </c>
      <c r="K75" s="30">
        <f t="shared" si="358"/>
        <v>0</v>
      </c>
      <c r="L75" s="30">
        <f t="shared" si="358"/>
        <v>0</v>
      </c>
      <c r="M75" s="30">
        <f t="shared" si="358"/>
        <v>0</v>
      </c>
      <c r="N75" s="30">
        <f t="shared" si="358"/>
        <v>0</v>
      </c>
      <c r="O75" s="30">
        <f t="shared" si="358"/>
        <v>0</v>
      </c>
      <c r="P75" s="30">
        <f t="shared" si="358"/>
        <v>0</v>
      </c>
      <c r="Q75" s="30">
        <f t="shared" si="358"/>
        <v>0</v>
      </c>
      <c r="R75" s="30">
        <f t="shared" si="358"/>
        <v>0</v>
      </c>
      <c r="S75" s="30">
        <f t="shared" si="358"/>
        <v>0</v>
      </c>
      <c r="T75" s="30">
        <f t="shared" si="358"/>
        <v>0</v>
      </c>
      <c r="U75" s="30">
        <f t="shared" si="358"/>
        <v>0</v>
      </c>
      <c r="V75" s="30">
        <f t="shared" si="358"/>
        <v>0</v>
      </c>
      <c r="W75" s="30">
        <f t="shared" si="358"/>
        <v>0</v>
      </c>
      <c r="X75" s="30">
        <f t="shared" si="358"/>
        <v>0</v>
      </c>
      <c r="Y75" s="30">
        <f t="shared" si="358"/>
        <v>0</v>
      </c>
      <c r="Z75" s="30">
        <f t="shared" si="358"/>
        <v>0</v>
      </c>
      <c r="AA75" s="30">
        <f t="shared" si="358"/>
        <v>0</v>
      </c>
      <c r="AB75" s="30">
        <f t="shared" si="358"/>
        <v>0</v>
      </c>
      <c r="AC75" s="30">
        <f t="shared" si="358"/>
        <v>0</v>
      </c>
      <c r="AD75" s="30">
        <f t="shared" si="358"/>
        <v>0</v>
      </c>
      <c r="AE75" s="30">
        <f t="shared" ref="AE75:BN75" si="359">AE59-AE66-AE73</f>
        <v>0</v>
      </c>
      <c r="AF75" s="30">
        <f t="shared" si="359"/>
        <v>0</v>
      </c>
      <c r="AG75" s="30">
        <f t="shared" si="359"/>
        <v>0</v>
      </c>
      <c r="AH75" s="30">
        <f t="shared" si="359"/>
        <v>0</v>
      </c>
      <c r="AI75" s="30">
        <f t="shared" si="359"/>
        <v>0</v>
      </c>
      <c r="AJ75" s="30">
        <f t="shared" si="359"/>
        <v>0</v>
      </c>
      <c r="AK75" s="30">
        <f t="shared" si="359"/>
        <v>0</v>
      </c>
      <c r="AL75" s="30">
        <f t="shared" si="359"/>
        <v>0</v>
      </c>
      <c r="AM75" s="30">
        <f t="shared" si="359"/>
        <v>0</v>
      </c>
      <c r="AN75" s="30">
        <f t="shared" si="359"/>
        <v>0</v>
      </c>
      <c r="AO75" s="30">
        <f t="shared" si="359"/>
        <v>0</v>
      </c>
      <c r="AP75" s="30">
        <f t="shared" si="359"/>
        <v>0</v>
      </c>
      <c r="AQ75" s="30">
        <f t="shared" si="359"/>
        <v>0</v>
      </c>
      <c r="AR75" s="30">
        <f t="shared" si="359"/>
        <v>0</v>
      </c>
      <c r="AS75" s="30">
        <f t="shared" si="359"/>
        <v>0</v>
      </c>
      <c r="AT75" s="30">
        <f t="shared" si="359"/>
        <v>0</v>
      </c>
      <c r="AU75" s="30">
        <f t="shared" si="359"/>
        <v>0</v>
      </c>
      <c r="AV75" s="30">
        <f t="shared" si="359"/>
        <v>0</v>
      </c>
      <c r="AW75" s="30">
        <f t="shared" si="359"/>
        <v>0</v>
      </c>
      <c r="AX75" s="30">
        <f t="shared" si="359"/>
        <v>0</v>
      </c>
      <c r="AY75" s="30">
        <f t="shared" si="359"/>
        <v>0</v>
      </c>
      <c r="AZ75" s="30">
        <f t="shared" si="359"/>
        <v>0</v>
      </c>
      <c r="BA75" s="30">
        <f t="shared" si="359"/>
        <v>0</v>
      </c>
      <c r="BB75" s="30">
        <f t="shared" si="359"/>
        <v>0</v>
      </c>
      <c r="BC75" s="30">
        <f t="shared" si="359"/>
        <v>0</v>
      </c>
      <c r="BD75" s="30">
        <f t="shared" si="359"/>
        <v>0</v>
      </c>
      <c r="BE75" s="30">
        <f t="shared" si="359"/>
        <v>-5.5879354476928711E-9</v>
      </c>
      <c r="BF75" s="30">
        <f t="shared" si="359"/>
        <v>-6.5192580223083496E-9</v>
      </c>
      <c r="BG75" s="30">
        <f t="shared" si="359"/>
        <v>-6.5192580223083496E-9</v>
      </c>
      <c r="BH75" s="30">
        <f t="shared" si="359"/>
        <v>-4.6566128730773926E-9</v>
      </c>
      <c r="BI75" s="30">
        <f t="shared" si="359"/>
        <v>-5.5879354476928711E-9</v>
      </c>
      <c r="BJ75" s="30">
        <f t="shared" si="359"/>
        <v>-7.4505805969238281E-9</v>
      </c>
      <c r="BK75" s="30">
        <f t="shared" si="359"/>
        <v>-7.9162418842315674E-9</v>
      </c>
      <c r="BL75" s="30">
        <f t="shared" si="359"/>
        <v>-7.4505805969238281E-9</v>
      </c>
      <c r="BM75" s="30">
        <f t="shared" si="359"/>
        <v>-7.4505805969238281E-9</v>
      </c>
      <c r="BN75" s="30">
        <f t="shared" si="359"/>
        <v>-7.4505805969238281E-9</v>
      </c>
    </row>
    <row r="77" spans="1:66" x14ac:dyDescent="0.3">
      <c r="A77" s="22" t="s">
        <v>0</v>
      </c>
      <c r="B77" s="22" t="s">
        <v>0</v>
      </c>
      <c r="C77" s="53" t="s">
        <v>112</v>
      </c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</row>
    <row r="79" spans="1:66" x14ac:dyDescent="0.3">
      <c r="B79" s="22" t="s">
        <v>0</v>
      </c>
      <c r="C79" s="4" t="s">
        <v>113</v>
      </c>
    </row>
    <row r="80" spans="1:66" ht="3" customHeight="1" x14ac:dyDescent="0.3"/>
    <row r="81" spans="2:66" x14ac:dyDescent="0.3">
      <c r="C81" t="s">
        <v>110</v>
      </c>
      <c r="G81" s="37">
        <f t="shared" ref="G81:AD81" si="360">G51</f>
        <v>-84882.75</v>
      </c>
      <c r="H81" s="37">
        <f t="shared" si="360"/>
        <v>-83495.100000000006</v>
      </c>
      <c r="I81" s="37">
        <f t="shared" si="360"/>
        <v>-82170.45</v>
      </c>
      <c r="J81" s="37">
        <f t="shared" si="360"/>
        <v>-97906.8</v>
      </c>
      <c r="K81" s="37">
        <f t="shared" si="360"/>
        <v>-96753.4</v>
      </c>
      <c r="L81" s="37">
        <f t="shared" si="360"/>
        <v>-95571.05</v>
      </c>
      <c r="M81" s="37">
        <f t="shared" si="360"/>
        <v>-117173.11000000002</v>
      </c>
      <c r="N81" s="37">
        <f t="shared" si="360"/>
        <v>-116001.79</v>
      </c>
      <c r="O81" s="37">
        <f t="shared" si="360"/>
        <v>-114777.86999999998</v>
      </c>
      <c r="P81" s="37">
        <f t="shared" si="360"/>
        <v>-148047.5821</v>
      </c>
      <c r="Q81" s="37">
        <f t="shared" si="360"/>
        <v>-146619.21179999999</v>
      </c>
      <c r="R81" s="37">
        <f t="shared" si="360"/>
        <v>-151226.65109999999</v>
      </c>
      <c r="S81" s="37">
        <f t="shared" si="360"/>
        <v>-170191.17606299999</v>
      </c>
      <c r="T81" s="37">
        <f t="shared" si="360"/>
        <v>-168842.87062100001</v>
      </c>
      <c r="U81" s="37">
        <f t="shared" si="360"/>
        <v>-167329.16705400002</v>
      </c>
      <c r="V81" s="37">
        <f t="shared" si="360"/>
        <v>-206863.27763128004</v>
      </c>
      <c r="W81" s="37">
        <f t="shared" si="360"/>
        <v>-205088.43505032</v>
      </c>
      <c r="X81" s="37">
        <f t="shared" si="360"/>
        <v>-203003.73925061</v>
      </c>
      <c r="Y81" s="37">
        <f t="shared" si="360"/>
        <v>-223893.83730367129</v>
      </c>
      <c r="Z81" s="37">
        <f t="shared" si="360"/>
        <v>-239309.07396961169</v>
      </c>
      <c r="AA81" s="37">
        <f t="shared" si="360"/>
        <v>-236543.25098185043</v>
      </c>
      <c r="AB81" s="37">
        <f t="shared" si="360"/>
        <v>-256848.95287147266</v>
      </c>
      <c r="AC81" s="37">
        <f t="shared" si="360"/>
        <v>-271277.33285860042</v>
      </c>
      <c r="AD81" s="37">
        <f t="shared" si="360"/>
        <v>-287853.6867923406</v>
      </c>
      <c r="AE81" s="37">
        <f t="shared" ref="AE81:BN81" si="361">AE51</f>
        <v>-298669.58875509218</v>
      </c>
      <c r="AF81" s="37">
        <f t="shared" si="361"/>
        <v>-318475.25403131562</v>
      </c>
      <c r="AG81" s="37">
        <f t="shared" si="361"/>
        <v>-319847.87136758678</v>
      </c>
      <c r="AH81" s="37">
        <f t="shared" si="361"/>
        <v>-354663.48458239355</v>
      </c>
      <c r="AI81" s="37">
        <f t="shared" si="361"/>
        <v>-348623.28669868584</v>
      </c>
      <c r="AJ81" s="37">
        <f t="shared" si="361"/>
        <v>-366081.60553010949</v>
      </c>
      <c r="AK81" s="37">
        <f t="shared" si="361"/>
        <v>-396018.61106991582</v>
      </c>
      <c r="AL81" s="37">
        <f t="shared" si="361"/>
        <v>-394922.71595194901</v>
      </c>
      <c r="AM81" s="37">
        <f t="shared" si="361"/>
        <v>-415633.51958752144</v>
      </c>
      <c r="AN81" s="37">
        <f t="shared" si="361"/>
        <v>-441233.96327952784</v>
      </c>
      <c r="AO81" s="37">
        <f t="shared" si="361"/>
        <v>-454863.30531034002</v>
      </c>
      <c r="AP81" s="37">
        <f t="shared" si="361"/>
        <v>-472424.77309616795</v>
      </c>
      <c r="AQ81" s="37">
        <f t="shared" si="361"/>
        <v>-488533.61896383774</v>
      </c>
      <c r="AR81" s="37">
        <f t="shared" si="361"/>
        <v>-503879.81568638509</v>
      </c>
      <c r="AS81" s="37">
        <f t="shared" si="361"/>
        <v>-516223.45107098506</v>
      </c>
      <c r="AT81" s="37">
        <f t="shared" si="361"/>
        <v>-552778.33415583381</v>
      </c>
      <c r="AU81" s="37">
        <f t="shared" si="361"/>
        <v>-565898.1055192916</v>
      </c>
      <c r="AV81" s="37">
        <f t="shared" si="361"/>
        <v>-590811.68926301622</v>
      </c>
      <c r="AW81" s="37">
        <f t="shared" si="361"/>
        <v>-622503.89861840755</v>
      </c>
      <c r="AX81" s="37">
        <f t="shared" si="361"/>
        <v>-645577.94394919497</v>
      </c>
      <c r="AY81" s="37">
        <f t="shared" si="361"/>
        <v>-667525.29545510875</v>
      </c>
      <c r="AZ81" s="37">
        <f t="shared" si="361"/>
        <v>-708828.45126639958</v>
      </c>
      <c r="BA81" s="37">
        <f t="shared" si="361"/>
        <v>-727683.82935191155</v>
      </c>
      <c r="BB81" s="37">
        <f t="shared" si="361"/>
        <v>-760909.21548344148</v>
      </c>
      <c r="BC81" s="37">
        <f t="shared" si="361"/>
        <v>-781134.25363415945</v>
      </c>
      <c r="BD81" s="37">
        <f t="shared" si="361"/>
        <v>-825885.65947975032</v>
      </c>
      <c r="BE81" s="37">
        <f t="shared" si="361"/>
        <v>-864888.22245745896</v>
      </c>
      <c r="BF81" s="37">
        <f t="shared" si="361"/>
        <v>-898836.70977642154</v>
      </c>
      <c r="BG81" s="37">
        <f t="shared" si="361"/>
        <v>-928303.67226608889</v>
      </c>
      <c r="BH81" s="37">
        <f t="shared" si="361"/>
        <v>-981089.46434799442</v>
      </c>
      <c r="BI81" s="37">
        <f t="shared" si="361"/>
        <v>-1023423.9496968198</v>
      </c>
      <c r="BJ81" s="37">
        <f t="shared" si="361"/>
        <v>-1073000.732681626</v>
      </c>
      <c r="BK81" s="37">
        <f t="shared" si="361"/>
        <v>-1124102.4241276206</v>
      </c>
      <c r="BL81" s="37">
        <f t="shared" si="361"/>
        <v>-1171053.8095004479</v>
      </c>
      <c r="BM81" s="37">
        <f t="shared" si="361"/>
        <v>-1241600.8768813526</v>
      </c>
      <c r="BN81" s="37">
        <f t="shared" si="361"/>
        <v>-1299223.1233186172</v>
      </c>
    </row>
    <row r="82" spans="2:66" x14ac:dyDescent="0.3">
      <c r="C82" t="s">
        <v>138</v>
      </c>
      <c r="G82" s="30">
        <f t="shared" ref="G82:AD82" si="362">F58-G58</f>
        <v>-702.08333333333326</v>
      </c>
      <c r="H82" s="30">
        <f t="shared" si="362"/>
        <v>-695.41666666666674</v>
      </c>
      <c r="I82" s="30">
        <f t="shared" si="362"/>
        <v>-703.75</v>
      </c>
      <c r="J82" s="30">
        <f t="shared" si="362"/>
        <v>-712.08333333333303</v>
      </c>
      <c r="K82" s="30">
        <f t="shared" si="362"/>
        <v>-735</v>
      </c>
      <c r="L82" s="30">
        <f t="shared" si="362"/>
        <v>-762.91666666666697</v>
      </c>
      <c r="M82" s="30">
        <f t="shared" si="362"/>
        <v>-800.83333333333303</v>
      </c>
      <c r="N82" s="30">
        <f t="shared" si="362"/>
        <v>-843.33333333333303</v>
      </c>
      <c r="O82" s="30">
        <f t="shared" si="362"/>
        <v>-895.83333333333394</v>
      </c>
      <c r="P82" s="30">
        <f t="shared" si="362"/>
        <v>-952.91666666666606</v>
      </c>
      <c r="Q82" s="30">
        <f t="shared" si="362"/>
        <v>-1015</v>
      </c>
      <c r="R82" s="30">
        <f t="shared" si="362"/>
        <v>-1086.6666666666661</v>
      </c>
      <c r="S82" s="30">
        <f t="shared" si="362"/>
        <v>-1086.25</v>
      </c>
      <c r="T82" s="30">
        <f t="shared" si="362"/>
        <v>-1168.3333333333339</v>
      </c>
      <c r="U82" s="30">
        <f t="shared" si="362"/>
        <v>-1260</v>
      </c>
      <c r="V82" s="30">
        <f t="shared" si="362"/>
        <v>-1366.25</v>
      </c>
      <c r="W82" s="30">
        <f t="shared" si="362"/>
        <v>-1477.5</v>
      </c>
      <c r="X82" s="30">
        <f t="shared" si="362"/>
        <v>-1598.7499999999982</v>
      </c>
      <c r="Y82" s="30">
        <f t="shared" si="362"/>
        <v>-1734.5833333333358</v>
      </c>
      <c r="Z82" s="30">
        <f t="shared" si="362"/>
        <v>-1885</v>
      </c>
      <c r="AA82" s="30">
        <f t="shared" si="362"/>
        <v>-2045</v>
      </c>
      <c r="AB82" s="30">
        <f t="shared" si="362"/>
        <v>-2229.5833333333321</v>
      </c>
      <c r="AC82" s="30">
        <f t="shared" si="362"/>
        <v>-2424.1666666666679</v>
      </c>
      <c r="AD82" s="30">
        <f t="shared" si="362"/>
        <v>-2628.3333333333321</v>
      </c>
      <c r="AE82" s="30">
        <f t="shared" ref="AE82" si="363">AD58-AE58</f>
        <v>-2701.6666666666679</v>
      </c>
      <c r="AF82" s="30">
        <f t="shared" ref="AF82" si="364">AE58-AF58</f>
        <v>-2940.8333333333285</v>
      </c>
      <c r="AG82" s="30">
        <f t="shared" ref="AG82" si="365">AF58-AG58</f>
        <v>-3204.5833333333358</v>
      </c>
      <c r="AH82" s="30">
        <f t="shared" ref="AH82" si="366">AG58-AH58</f>
        <v>-3497.9166666666642</v>
      </c>
      <c r="AI82" s="30">
        <f t="shared" ref="AI82" si="367">AH58-AI58</f>
        <v>-3805.8333333333358</v>
      </c>
      <c r="AJ82" s="30">
        <f t="shared" ref="AJ82" si="368">AI58-AJ58</f>
        <v>-4152.9166666666642</v>
      </c>
      <c r="AK82" s="30">
        <f t="shared" ref="AK82" si="369">AJ58-AK58</f>
        <v>-4529.5833333333358</v>
      </c>
      <c r="AL82" s="30">
        <f t="shared" ref="AL82" si="370">AK58-AL58</f>
        <v>-4936.25</v>
      </c>
      <c r="AM82" s="30">
        <f t="shared" ref="AM82" si="371">AL58-AM58</f>
        <v>-5382.0833333333358</v>
      </c>
      <c r="AN82" s="30">
        <f t="shared" ref="AN82" si="372">AM58-AN58</f>
        <v>-5867.0833333333285</v>
      </c>
      <c r="AO82" s="30">
        <f t="shared" ref="AO82" si="373">AN58-AO58</f>
        <v>-6410.8333333333285</v>
      </c>
      <c r="AP82" s="30">
        <f t="shared" ref="AP82" si="374">AO58-AP58</f>
        <v>-6994.583333333343</v>
      </c>
      <c r="AQ82" s="30">
        <f t="shared" ref="AQ82" si="375">AP58-AQ58</f>
        <v>-7627.916666666657</v>
      </c>
      <c r="AR82" s="30">
        <f t="shared" ref="AR82" si="376">AQ58-AR58</f>
        <v>-8334.583333333343</v>
      </c>
      <c r="AS82" s="30">
        <f t="shared" ref="AS82" si="377">AR58-AS58</f>
        <v>-9105.416666666657</v>
      </c>
      <c r="AT82" s="30">
        <f t="shared" ref="AT82" si="378">AS58-AT58</f>
        <v>-9935.833333333343</v>
      </c>
      <c r="AU82" s="30">
        <f t="shared" ref="AU82" si="379">AT58-AU58</f>
        <v>-10859.583333333314</v>
      </c>
      <c r="AV82" s="30">
        <f t="shared" ref="AV82" si="380">AU58-AV58</f>
        <v>-11867.083333333343</v>
      </c>
      <c r="AW82" s="30">
        <f t="shared" ref="AW82" si="381">AV58-AW58</f>
        <v>-12968.75</v>
      </c>
      <c r="AX82" s="30">
        <f t="shared" ref="AX82" si="382">AW58-AX58</f>
        <v>-14178.75</v>
      </c>
      <c r="AY82" s="30">
        <f t="shared" ref="AY82" si="383">AX58-AY58</f>
        <v>-15497.5</v>
      </c>
      <c r="AZ82" s="30">
        <f t="shared" ref="AZ82" si="384">AY58-AZ58</f>
        <v>-16935</v>
      </c>
      <c r="BA82" s="30">
        <f t="shared" ref="BA82" si="385">AZ58-BA58</f>
        <v>-18515.833333333343</v>
      </c>
      <c r="BB82" s="30">
        <f t="shared" ref="BB82" si="386">BA58-BB58</f>
        <v>-20249.583333333314</v>
      </c>
      <c r="BC82" s="30">
        <f t="shared" ref="BC82" si="387">BB58-BC58</f>
        <v>-22146.666666666686</v>
      </c>
      <c r="BD82" s="30">
        <f t="shared" ref="BD82" si="388">BC58-BD58</f>
        <v>-24227.083333333314</v>
      </c>
      <c r="BE82" s="30">
        <f t="shared" ref="BE82" si="389">BD58-BE58</f>
        <v>-26490.833333333314</v>
      </c>
      <c r="BF82" s="30">
        <f t="shared" ref="BF82" si="390">BE58-BF58</f>
        <v>-28986.25</v>
      </c>
      <c r="BG82" s="30">
        <f t="shared" ref="BG82" si="391">BF58-BG58</f>
        <v>-31715</v>
      </c>
      <c r="BH82" s="30">
        <f t="shared" ref="BH82" si="392">BG58-BH58</f>
        <v>-34706.25</v>
      </c>
      <c r="BI82" s="30">
        <f t="shared" ref="BI82" si="393">BH58-BI58</f>
        <v>-37979.583333333372</v>
      </c>
      <c r="BJ82" s="30">
        <f t="shared" ref="BJ82" si="394">BI58-BJ58</f>
        <v>-41575</v>
      </c>
      <c r="BK82" s="30">
        <f t="shared" ref="BK82" si="395">BJ58-BK58</f>
        <v>-45507.5</v>
      </c>
      <c r="BL82" s="30">
        <f t="shared" ref="BL82" si="396">BK58-BL58</f>
        <v>-49812.083333333256</v>
      </c>
      <c r="BM82" s="30">
        <f t="shared" ref="BM82" si="397">BL58-BM58</f>
        <v>-54532.916666666744</v>
      </c>
      <c r="BN82" s="30">
        <f t="shared" ref="BN82" si="398">BM58-BN58</f>
        <v>-59714.583333333256</v>
      </c>
    </row>
    <row r="83" spans="2:66" x14ac:dyDescent="0.3">
      <c r="C83" t="s">
        <v>144</v>
      </c>
      <c r="G83" s="30">
        <f t="shared" ref="G83:AD83" si="399">G63-F63</f>
        <v>2527.5</v>
      </c>
      <c r="H83" s="30">
        <f t="shared" si="399"/>
        <v>2503.5</v>
      </c>
      <c r="I83" s="30">
        <f t="shared" si="399"/>
        <v>2533.5</v>
      </c>
      <c r="J83" s="30">
        <f t="shared" si="399"/>
        <v>2563.5</v>
      </c>
      <c r="K83" s="30">
        <f t="shared" si="399"/>
        <v>2646</v>
      </c>
      <c r="L83" s="30">
        <f t="shared" si="399"/>
        <v>2746.5</v>
      </c>
      <c r="M83" s="30">
        <f t="shared" si="399"/>
        <v>2883</v>
      </c>
      <c r="N83" s="30">
        <f t="shared" si="399"/>
        <v>3036</v>
      </c>
      <c r="O83" s="30">
        <f t="shared" si="399"/>
        <v>3225</v>
      </c>
      <c r="P83" s="30">
        <f t="shared" si="399"/>
        <v>3430.5</v>
      </c>
      <c r="Q83" s="30">
        <f t="shared" si="399"/>
        <v>3654</v>
      </c>
      <c r="R83" s="30">
        <f t="shared" si="399"/>
        <v>3912</v>
      </c>
      <c r="S83" s="30">
        <f t="shared" si="399"/>
        <v>3910.5</v>
      </c>
      <c r="T83" s="30">
        <f t="shared" si="399"/>
        <v>4206</v>
      </c>
      <c r="U83" s="30">
        <f t="shared" si="399"/>
        <v>4536</v>
      </c>
      <c r="V83" s="30">
        <f t="shared" si="399"/>
        <v>4918.5</v>
      </c>
      <c r="W83" s="30">
        <f t="shared" si="399"/>
        <v>5319</v>
      </c>
      <c r="X83" s="30">
        <f t="shared" si="399"/>
        <v>5755.5</v>
      </c>
      <c r="Y83" s="30">
        <f t="shared" si="399"/>
        <v>6244.5</v>
      </c>
      <c r="Z83" s="30">
        <f t="shared" si="399"/>
        <v>6786</v>
      </c>
      <c r="AA83" s="30">
        <f t="shared" si="399"/>
        <v>7362</v>
      </c>
      <c r="AB83" s="30">
        <f t="shared" si="399"/>
        <v>8026.5</v>
      </c>
      <c r="AC83" s="30">
        <f t="shared" si="399"/>
        <v>8727</v>
      </c>
      <c r="AD83" s="30">
        <f t="shared" si="399"/>
        <v>9462</v>
      </c>
      <c r="AE83" s="30">
        <f t="shared" ref="AE83:AE85" si="400">AE63-AD63</f>
        <v>9726</v>
      </c>
      <c r="AF83" s="30">
        <f t="shared" ref="AF83:AF85" si="401">AF63-AE63</f>
        <v>10587</v>
      </c>
      <c r="AG83" s="30">
        <f t="shared" ref="AG83:AG85" si="402">AG63-AF63</f>
        <v>11536.5</v>
      </c>
      <c r="AH83" s="30">
        <f t="shared" ref="AH83:AH85" si="403">AH63-AG63</f>
        <v>12592.5</v>
      </c>
      <c r="AI83" s="30">
        <f t="shared" ref="AI83:AI85" si="404">AI63-AH63</f>
        <v>13701</v>
      </c>
      <c r="AJ83" s="30">
        <f t="shared" ref="AJ83:AJ85" si="405">AJ63-AI63</f>
        <v>14950.5</v>
      </c>
      <c r="AK83" s="30">
        <f t="shared" ref="AK83:AK85" si="406">AK63-AJ63</f>
        <v>16306.5</v>
      </c>
      <c r="AL83" s="30">
        <f t="shared" ref="AL83:AL85" si="407">AL63-AK63</f>
        <v>17770.5</v>
      </c>
      <c r="AM83" s="30">
        <f t="shared" ref="AM83:AM85" si="408">AM63-AL63</f>
        <v>19375.5</v>
      </c>
      <c r="AN83" s="30">
        <f t="shared" ref="AN83:AN85" si="409">AN63-AM63</f>
        <v>21121.5</v>
      </c>
      <c r="AO83" s="30">
        <f t="shared" ref="AO83:AO85" si="410">AO63-AN63</f>
        <v>23079</v>
      </c>
      <c r="AP83" s="30">
        <f t="shared" ref="AP83:AP85" si="411">AP63-AO63</f>
        <v>25180.5</v>
      </c>
      <c r="AQ83" s="30">
        <f t="shared" ref="AQ83:AQ85" si="412">AQ63-AP63</f>
        <v>27460.5</v>
      </c>
      <c r="AR83" s="30">
        <f t="shared" ref="AR83:AR85" si="413">AR63-AQ63</f>
        <v>30004.5</v>
      </c>
      <c r="AS83" s="30">
        <f t="shared" ref="AS83:AS85" si="414">AS63-AR63</f>
        <v>32779.5</v>
      </c>
      <c r="AT83" s="30">
        <f t="shared" ref="AT83:AT85" si="415">AT63-AS63</f>
        <v>35769</v>
      </c>
      <c r="AU83" s="30">
        <f t="shared" ref="AU83:AU85" si="416">AU63-AT63</f>
        <v>39094.5</v>
      </c>
      <c r="AV83" s="30">
        <f t="shared" ref="AV83:AV85" si="417">AV63-AU63</f>
        <v>42721.5</v>
      </c>
      <c r="AW83" s="30">
        <f t="shared" ref="AW83:AW85" si="418">AW63-AV63</f>
        <v>46687.5</v>
      </c>
      <c r="AX83" s="30">
        <f t="shared" ref="AX83:AX85" si="419">AX63-AW63</f>
        <v>51043.5</v>
      </c>
      <c r="AY83" s="30">
        <f t="shared" ref="AY83:AY85" si="420">AY63-AX63</f>
        <v>55791</v>
      </c>
      <c r="AZ83" s="30">
        <f t="shared" ref="AZ83:AZ85" si="421">AZ63-AY63</f>
        <v>60966</v>
      </c>
      <c r="BA83" s="30">
        <f t="shared" ref="BA83:BA85" si="422">BA63-AZ63</f>
        <v>66657</v>
      </c>
      <c r="BB83" s="30">
        <f t="shared" ref="BB83:BB85" si="423">BB63-BA63</f>
        <v>72898.5</v>
      </c>
      <c r="BC83" s="30">
        <f t="shared" ref="BC83:BC85" si="424">BC63-BB63</f>
        <v>79728</v>
      </c>
      <c r="BD83" s="30">
        <f t="shared" ref="BD83:BD85" si="425">BD63-BC63</f>
        <v>87217.5</v>
      </c>
      <c r="BE83" s="30">
        <f t="shared" ref="BE83:BE85" si="426">BE63-BD63</f>
        <v>95367</v>
      </c>
      <c r="BF83" s="30">
        <f t="shared" ref="BF83:BF85" si="427">BF63-BE63</f>
        <v>104350.5</v>
      </c>
      <c r="BG83" s="30">
        <f t="shared" ref="BG83:BG85" si="428">BG63-BF63</f>
        <v>114174</v>
      </c>
      <c r="BH83" s="30">
        <f t="shared" ref="BH83:BH85" si="429">BH63-BG63</f>
        <v>124942.5</v>
      </c>
      <c r="BI83" s="30">
        <f t="shared" ref="BI83:BI85" si="430">BI63-BH63</f>
        <v>136726.5</v>
      </c>
      <c r="BJ83" s="30">
        <f t="shared" ref="BJ83:BJ85" si="431">BJ63-BI63</f>
        <v>149670</v>
      </c>
      <c r="BK83" s="30">
        <f t="shared" ref="BK83:BK85" si="432">BK63-BJ63</f>
        <v>163827</v>
      </c>
      <c r="BL83" s="30">
        <f t="shared" ref="BL83:BL85" si="433">BL63-BK63</f>
        <v>179323.5</v>
      </c>
      <c r="BM83" s="30">
        <f t="shared" ref="BM83:BM85" si="434">BM63-BL63</f>
        <v>196318.5</v>
      </c>
      <c r="BN83" s="30">
        <f t="shared" ref="BN83:BN85" si="435">BN63-BM63</f>
        <v>214972.5</v>
      </c>
    </row>
    <row r="84" spans="2:66" x14ac:dyDescent="0.3">
      <c r="C84" t="s">
        <v>145</v>
      </c>
      <c r="G84" s="30">
        <f t="shared" ref="G84:AD84" si="436">G64-F64</f>
        <v>4044</v>
      </c>
      <c r="H84" s="30">
        <f t="shared" si="436"/>
        <v>4005.6000000000004</v>
      </c>
      <c r="I84" s="30">
        <f t="shared" si="436"/>
        <v>4053.6000000000004</v>
      </c>
      <c r="J84" s="30">
        <f t="shared" si="436"/>
        <v>3088.7999999999993</v>
      </c>
      <c r="K84" s="30">
        <f t="shared" si="436"/>
        <v>3969</v>
      </c>
      <c r="L84" s="30">
        <f t="shared" si="436"/>
        <v>4119.75</v>
      </c>
      <c r="M84" s="30">
        <f t="shared" si="436"/>
        <v>2484.1499999999978</v>
      </c>
      <c r="N84" s="30">
        <f t="shared" si="436"/>
        <v>4250.3999999999978</v>
      </c>
      <c r="O84" s="30">
        <f t="shared" si="436"/>
        <v>4515</v>
      </c>
      <c r="P84" s="30">
        <f t="shared" si="436"/>
        <v>1993.1999999999971</v>
      </c>
      <c r="Q84" s="30">
        <f t="shared" si="436"/>
        <v>4750.1999999999971</v>
      </c>
      <c r="R84" s="30">
        <f t="shared" si="436"/>
        <v>5085.5999999999985</v>
      </c>
      <c r="S84" s="30">
        <f t="shared" si="436"/>
        <v>1126.5000000000073</v>
      </c>
      <c r="T84" s="30">
        <f t="shared" si="436"/>
        <v>5047.1999999999971</v>
      </c>
      <c r="U84" s="30">
        <f t="shared" si="436"/>
        <v>5443.1999999999971</v>
      </c>
      <c r="V84" s="30">
        <f t="shared" si="436"/>
        <v>579</v>
      </c>
      <c r="W84" s="30">
        <f t="shared" si="436"/>
        <v>5850.9000000000015</v>
      </c>
      <c r="X84" s="30">
        <f t="shared" si="436"/>
        <v>6331.0500000000029</v>
      </c>
      <c r="Y84" s="30">
        <f t="shared" si="436"/>
        <v>-186.14999999999418</v>
      </c>
      <c r="Z84" s="30">
        <f t="shared" si="436"/>
        <v>6786</v>
      </c>
      <c r="AA84" s="30">
        <f t="shared" si="436"/>
        <v>7362</v>
      </c>
      <c r="AB84" s="30">
        <f t="shared" si="436"/>
        <v>-1246.0500000000029</v>
      </c>
      <c r="AC84" s="30">
        <f t="shared" si="436"/>
        <v>7854.3000000000029</v>
      </c>
      <c r="AD84" s="30">
        <f t="shared" si="436"/>
        <v>8515.8000000000029</v>
      </c>
      <c r="AE84" s="30">
        <f t="shared" si="400"/>
        <v>-3310.6499999999942</v>
      </c>
      <c r="AF84" s="30">
        <f t="shared" si="401"/>
        <v>8469.5999999999913</v>
      </c>
      <c r="AG84" s="30">
        <f t="shared" si="402"/>
        <v>9229.1999999999971</v>
      </c>
      <c r="AH84" s="30">
        <f t="shared" si="403"/>
        <v>-5461.6499999999796</v>
      </c>
      <c r="AI84" s="30">
        <f t="shared" si="404"/>
        <v>9590.6999999999971</v>
      </c>
      <c r="AJ84" s="30">
        <f t="shared" si="405"/>
        <v>10465.349999999991</v>
      </c>
      <c r="AK84" s="30">
        <f t="shared" si="406"/>
        <v>-8616.8999999999942</v>
      </c>
      <c r="AL84" s="30">
        <f t="shared" si="407"/>
        <v>10662.300000000003</v>
      </c>
      <c r="AM84" s="30">
        <f t="shared" si="408"/>
        <v>11625.300000000003</v>
      </c>
      <c r="AN84" s="30">
        <f t="shared" si="409"/>
        <v>-13185.300000000017</v>
      </c>
      <c r="AO84" s="30">
        <f t="shared" si="410"/>
        <v>11539.5</v>
      </c>
      <c r="AP84" s="30">
        <f t="shared" si="411"/>
        <v>12590.25</v>
      </c>
      <c r="AQ84" s="30">
        <f t="shared" si="412"/>
        <v>-19699.950000000012</v>
      </c>
      <c r="AR84" s="30">
        <f t="shared" si="413"/>
        <v>12001.800000000017</v>
      </c>
      <c r="AS84" s="30">
        <f t="shared" si="414"/>
        <v>13111.799999999988</v>
      </c>
      <c r="AT84" s="30">
        <f t="shared" si="415"/>
        <v>-28977.899999999994</v>
      </c>
      <c r="AU84" s="30">
        <f t="shared" si="416"/>
        <v>11728.350000000006</v>
      </c>
      <c r="AV84" s="30">
        <f t="shared" si="417"/>
        <v>12816.449999999983</v>
      </c>
      <c r="AW84" s="30">
        <f t="shared" si="418"/>
        <v>-42129.600000000006</v>
      </c>
      <c r="AX84" s="30">
        <f t="shared" si="419"/>
        <v>10208.699999999997</v>
      </c>
      <c r="AY84" s="30">
        <f t="shared" si="420"/>
        <v>11158.199999999997</v>
      </c>
      <c r="AZ84" s="30">
        <f t="shared" si="421"/>
        <v>-60722.7</v>
      </c>
      <c r="BA84" s="30">
        <f t="shared" si="422"/>
        <v>6665.6999999999971</v>
      </c>
      <c r="BB84" s="30">
        <f t="shared" si="423"/>
        <v>7289.8499999999913</v>
      </c>
      <c r="BC84" s="30">
        <f t="shared" si="424"/>
        <v>-86871.449999999968</v>
      </c>
      <c r="BD84" s="30">
        <f t="shared" si="425"/>
        <v>0</v>
      </c>
      <c r="BE84" s="30">
        <f t="shared" si="426"/>
        <v>0</v>
      </c>
      <c r="BF84" s="30">
        <f t="shared" si="427"/>
        <v>-123537.75</v>
      </c>
      <c r="BG84" s="30">
        <f t="shared" si="428"/>
        <v>-11417.399999999994</v>
      </c>
      <c r="BH84" s="30">
        <f t="shared" si="429"/>
        <v>-12494.25</v>
      </c>
      <c r="BI84" s="30">
        <f t="shared" si="430"/>
        <v>-174794.70000000004</v>
      </c>
      <c r="BJ84" s="30">
        <f t="shared" si="431"/>
        <v>-29934</v>
      </c>
      <c r="BK84" s="30">
        <f t="shared" si="432"/>
        <v>-32765.399999999965</v>
      </c>
      <c r="BL84" s="30">
        <f t="shared" si="433"/>
        <v>-246268.79999999993</v>
      </c>
      <c r="BM84" s="30">
        <f t="shared" si="434"/>
        <v>-58895.550000000047</v>
      </c>
      <c r="BN84" s="30">
        <f t="shared" si="435"/>
        <v>-64491.75</v>
      </c>
    </row>
    <row r="85" spans="2:66" x14ac:dyDescent="0.3">
      <c r="C85" t="s">
        <v>146</v>
      </c>
      <c r="G85" s="30">
        <f t="shared" ref="G85:AD85" si="437">G65-F65</f>
        <v>16637.5</v>
      </c>
      <c r="H85" s="30">
        <f t="shared" si="437"/>
        <v>16335</v>
      </c>
      <c r="I85" s="30">
        <f t="shared" si="437"/>
        <v>15922.5</v>
      </c>
      <c r="J85" s="30">
        <f t="shared" si="437"/>
        <v>15400</v>
      </c>
      <c r="K85" s="30">
        <f t="shared" si="437"/>
        <v>15070</v>
      </c>
      <c r="L85" s="30">
        <f t="shared" si="437"/>
        <v>14602.5</v>
      </c>
      <c r="M85" s="30">
        <f t="shared" si="437"/>
        <v>13997.5</v>
      </c>
      <c r="N85" s="30">
        <f t="shared" si="437"/>
        <v>13557.5</v>
      </c>
      <c r="O85" s="30">
        <f t="shared" si="437"/>
        <v>12952.5</v>
      </c>
      <c r="P85" s="30">
        <f t="shared" si="437"/>
        <v>12485</v>
      </c>
      <c r="Q85" s="30">
        <f t="shared" si="437"/>
        <v>11825</v>
      </c>
      <c r="R85" s="30">
        <f t="shared" si="437"/>
        <v>11275</v>
      </c>
      <c r="S85" s="30">
        <f t="shared" si="437"/>
        <v>22907.5</v>
      </c>
      <c r="T85" s="30">
        <f t="shared" si="437"/>
        <v>23457.5</v>
      </c>
      <c r="U85" s="30">
        <f t="shared" si="437"/>
        <v>24117.5</v>
      </c>
      <c r="V85" s="30">
        <f t="shared" si="437"/>
        <v>24860</v>
      </c>
      <c r="W85" s="30">
        <f t="shared" si="437"/>
        <v>25685</v>
      </c>
      <c r="X85" s="30">
        <f t="shared" si="437"/>
        <v>26262.5</v>
      </c>
      <c r="Y85" s="30">
        <f t="shared" si="437"/>
        <v>26895</v>
      </c>
      <c r="Z85" s="30">
        <f t="shared" si="437"/>
        <v>27885</v>
      </c>
      <c r="AA85" s="30">
        <f t="shared" si="437"/>
        <v>28875</v>
      </c>
      <c r="AB85" s="30">
        <f t="shared" si="437"/>
        <v>30167.5</v>
      </c>
      <c r="AC85" s="30">
        <f t="shared" si="437"/>
        <v>31102.5</v>
      </c>
      <c r="AD85" s="30">
        <f t="shared" si="437"/>
        <v>32312.5</v>
      </c>
      <c r="AE85" s="30">
        <f t="shared" si="400"/>
        <v>34732.5</v>
      </c>
      <c r="AF85" s="30">
        <f t="shared" si="401"/>
        <v>37097.5</v>
      </c>
      <c r="AG85" s="30">
        <f t="shared" si="402"/>
        <v>39710</v>
      </c>
      <c r="AH85" s="30">
        <f t="shared" si="403"/>
        <v>42542.5</v>
      </c>
      <c r="AI85" s="30">
        <f t="shared" si="404"/>
        <v>45567.5</v>
      </c>
      <c r="AJ85" s="30">
        <f t="shared" si="405"/>
        <v>48730</v>
      </c>
      <c r="AK85" s="30">
        <f t="shared" si="406"/>
        <v>52002.5</v>
      </c>
      <c r="AL85" s="30">
        <f t="shared" si="407"/>
        <v>55385</v>
      </c>
      <c r="AM85" s="30">
        <f t="shared" si="408"/>
        <v>59152.5</v>
      </c>
      <c r="AN85" s="30">
        <f t="shared" si="409"/>
        <v>63580</v>
      </c>
      <c r="AO85" s="30">
        <f t="shared" si="410"/>
        <v>68255</v>
      </c>
      <c r="AP85" s="30">
        <f t="shared" si="411"/>
        <v>72847.5</v>
      </c>
      <c r="AQ85" s="30">
        <f t="shared" si="412"/>
        <v>77660</v>
      </c>
      <c r="AR85" s="30">
        <f t="shared" si="413"/>
        <v>83242.5</v>
      </c>
      <c r="AS85" s="30">
        <f t="shared" si="414"/>
        <v>89210</v>
      </c>
      <c r="AT85" s="30">
        <f t="shared" si="415"/>
        <v>95205</v>
      </c>
      <c r="AU85" s="30">
        <f t="shared" si="416"/>
        <v>102107.5</v>
      </c>
      <c r="AV85" s="30">
        <f t="shared" si="417"/>
        <v>109505</v>
      </c>
      <c r="AW85" s="30">
        <f t="shared" si="418"/>
        <v>117012.5</v>
      </c>
      <c r="AX85" s="30">
        <f t="shared" si="419"/>
        <v>125180</v>
      </c>
      <c r="AY85" s="30">
        <f t="shared" si="420"/>
        <v>133925</v>
      </c>
      <c r="AZ85" s="30">
        <f t="shared" si="421"/>
        <v>143495</v>
      </c>
      <c r="BA85" s="30">
        <f t="shared" si="422"/>
        <v>153780</v>
      </c>
      <c r="BB85" s="30">
        <f t="shared" si="423"/>
        <v>164642.5</v>
      </c>
      <c r="BC85" s="30">
        <f t="shared" si="424"/>
        <v>175972.5</v>
      </c>
      <c r="BD85" s="30">
        <f t="shared" si="425"/>
        <v>188320</v>
      </c>
      <c r="BE85" s="30">
        <f t="shared" si="426"/>
        <v>201245</v>
      </c>
      <c r="BF85" s="30">
        <f t="shared" si="427"/>
        <v>215517.5</v>
      </c>
      <c r="BG85" s="30">
        <f t="shared" si="428"/>
        <v>230697.5</v>
      </c>
      <c r="BH85" s="30">
        <f t="shared" si="429"/>
        <v>246950</v>
      </c>
      <c r="BI85" s="30">
        <f t="shared" si="430"/>
        <v>264082.5</v>
      </c>
      <c r="BJ85" s="30">
        <f t="shared" si="431"/>
        <v>282562.5</v>
      </c>
      <c r="BK85" s="30">
        <f t="shared" si="432"/>
        <v>302197.5</v>
      </c>
      <c r="BL85" s="30">
        <f t="shared" si="433"/>
        <v>323125</v>
      </c>
      <c r="BM85" s="30">
        <f t="shared" si="434"/>
        <v>345757.5</v>
      </c>
      <c r="BN85" s="30">
        <f t="shared" si="435"/>
        <v>370150</v>
      </c>
    </row>
    <row r="86" spans="2:66" x14ac:dyDescent="0.3">
      <c r="C86" s="31" t="s">
        <v>113</v>
      </c>
      <c r="D86" s="31"/>
      <c r="E86" s="31"/>
      <c r="F86" s="31"/>
      <c r="G86" s="39">
        <f>SUM(G81:G85)</f>
        <v>-62375.833333333328</v>
      </c>
      <c r="H86" s="39">
        <f t="shared" ref="H86:AD86" si="438">SUM(H81:H85)</f>
        <v>-61346.416666666672</v>
      </c>
      <c r="I86" s="39">
        <f t="shared" si="438"/>
        <v>-60364.599999999991</v>
      </c>
      <c r="J86" s="39">
        <f t="shared" si="438"/>
        <v>-77566.583333333328</v>
      </c>
      <c r="K86" s="39">
        <f t="shared" si="438"/>
        <v>-75803.399999999994</v>
      </c>
      <c r="L86" s="39">
        <f t="shared" si="438"/>
        <v>-74865.216666666674</v>
      </c>
      <c r="M86" s="39">
        <f t="shared" si="438"/>
        <v>-98609.293333333349</v>
      </c>
      <c r="N86" s="39">
        <f t="shared" si="438"/>
        <v>-96001.223333333328</v>
      </c>
      <c r="O86" s="39">
        <f t="shared" si="438"/>
        <v>-94981.203333333309</v>
      </c>
      <c r="P86" s="39">
        <f t="shared" si="438"/>
        <v>-131091.79876666667</v>
      </c>
      <c r="Q86" s="39">
        <f t="shared" si="438"/>
        <v>-127405.01179999998</v>
      </c>
      <c r="R86" s="39">
        <f t="shared" si="438"/>
        <v>-132040.71776666664</v>
      </c>
      <c r="S86" s="39">
        <f t="shared" si="438"/>
        <v>-143332.92606299999</v>
      </c>
      <c r="T86" s="39">
        <f t="shared" si="438"/>
        <v>-137300.50395433337</v>
      </c>
      <c r="U86" s="39">
        <f t="shared" si="438"/>
        <v>-134492.46705400001</v>
      </c>
      <c r="V86" s="39">
        <f t="shared" si="438"/>
        <v>-177872.02763128004</v>
      </c>
      <c r="W86" s="39">
        <f t="shared" si="438"/>
        <v>-169711.03505032</v>
      </c>
      <c r="X86" s="39">
        <f t="shared" si="438"/>
        <v>-166253.43925061001</v>
      </c>
      <c r="Y86" s="39">
        <f t="shared" si="438"/>
        <v>-192675.07063700462</v>
      </c>
      <c r="Z86" s="39">
        <f t="shared" si="438"/>
        <v>-199737.07396961169</v>
      </c>
      <c r="AA86" s="39">
        <f t="shared" si="438"/>
        <v>-194989.25098185043</v>
      </c>
      <c r="AB86" s="39">
        <f t="shared" si="438"/>
        <v>-222130.58620480599</v>
      </c>
      <c r="AC86" s="39">
        <f t="shared" si="438"/>
        <v>-226017.69952526712</v>
      </c>
      <c r="AD86" s="39">
        <f t="shared" si="438"/>
        <v>-240191.72012567392</v>
      </c>
      <c r="AE86" s="39">
        <f t="shared" ref="AE86:BN86" si="439">SUM(AE81:AE85)</f>
        <v>-260223.40542175889</v>
      </c>
      <c r="AF86" s="39">
        <f t="shared" si="439"/>
        <v>-265261.98736464896</v>
      </c>
      <c r="AG86" s="39">
        <f t="shared" si="439"/>
        <v>-262576.75470092008</v>
      </c>
      <c r="AH86" s="39">
        <f t="shared" si="439"/>
        <v>-308488.0512490602</v>
      </c>
      <c r="AI86" s="39">
        <f t="shared" si="439"/>
        <v>-283569.92003201914</v>
      </c>
      <c r="AJ86" s="39">
        <f t="shared" si="439"/>
        <v>-296088.6721967762</v>
      </c>
      <c r="AK86" s="39">
        <f t="shared" si="439"/>
        <v>-340856.0944032491</v>
      </c>
      <c r="AL86" s="39">
        <f t="shared" si="439"/>
        <v>-316041.16595194902</v>
      </c>
      <c r="AM86" s="39">
        <f t="shared" si="439"/>
        <v>-330862.30292085477</v>
      </c>
      <c r="AN86" s="39">
        <f t="shared" si="439"/>
        <v>-375584.84661286115</v>
      </c>
      <c r="AO86" s="39">
        <f t="shared" si="439"/>
        <v>-358400.63864367333</v>
      </c>
      <c r="AP86" s="39">
        <f t="shared" si="439"/>
        <v>-368801.10642950132</v>
      </c>
      <c r="AQ86" s="39">
        <f t="shared" si="439"/>
        <v>-410740.98563050438</v>
      </c>
      <c r="AR86" s="39">
        <f t="shared" si="439"/>
        <v>-386965.59901971836</v>
      </c>
      <c r="AS86" s="39">
        <f t="shared" si="439"/>
        <v>-390227.5677376517</v>
      </c>
      <c r="AT86" s="39">
        <f t="shared" si="439"/>
        <v>-460718.06748916721</v>
      </c>
      <c r="AU86" s="39">
        <f t="shared" si="439"/>
        <v>-423827.33885262499</v>
      </c>
      <c r="AV86" s="39">
        <f t="shared" si="439"/>
        <v>-437635.82259634964</v>
      </c>
      <c r="AW86" s="39">
        <f t="shared" si="439"/>
        <v>-513902.24861840752</v>
      </c>
      <c r="AX86" s="39">
        <f t="shared" si="439"/>
        <v>-473324.49394919502</v>
      </c>
      <c r="AY86" s="39">
        <f t="shared" si="439"/>
        <v>-482148.59545510879</v>
      </c>
      <c r="AZ86" s="39">
        <f t="shared" si="439"/>
        <v>-582025.15126639954</v>
      </c>
      <c r="BA86" s="39">
        <f t="shared" si="439"/>
        <v>-519096.96268524497</v>
      </c>
      <c r="BB86" s="39">
        <f t="shared" si="439"/>
        <v>-536327.94881677476</v>
      </c>
      <c r="BC86" s="39">
        <f t="shared" si="439"/>
        <v>-634451.87030082615</v>
      </c>
      <c r="BD86" s="39">
        <f t="shared" si="439"/>
        <v>-574575.24281308358</v>
      </c>
      <c r="BE86" s="39">
        <f t="shared" si="439"/>
        <v>-594767.05579079222</v>
      </c>
      <c r="BF86" s="39">
        <f t="shared" si="439"/>
        <v>-731492.70977642154</v>
      </c>
      <c r="BG86" s="39">
        <f t="shared" si="439"/>
        <v>-626564.57226608892</v>
      </c>
      <c r="BH86" s="39">
        <f t="shared" si="439"/>
        <v>-656397.46434799442</v>
      </c>
      <c r="BI86" s="39">
        <f t="shared" si="439"/>
        <v>-835389.23303015321</v>
      </c>
      <c r="BJ86" s="39">
        <f t="shared" si="439"/>
        <v>-712277.23268162599</v>
      </c>
      <c r="BK86" s="39">
        <f t="shared" si="439"/>
        <v>-736350.82412762055</v>
      </c>
      <c r="BL86" s="39">
        <f t="shared" si="439"/>
        <v>-964686.19283378124</v>
      </c>
      <c r="BM86" s="39">
        <f t="shared" si="439"/>
        <v>-812953.34354801942</v>
      </c>
      <c r="BN86" s="39">
        <f t="shared" si="439"/>
        <v>-838306.95665195049</v>
      </c>
    </row>
    <row r="88" spans="2:66" x14ac:dyDescent="0.3">
      <c r="B88" s="22" t="s">
        <v>0</v>
      </c>
      <c r="C88" s="4" t="s">
        <v>114</v>
      </c>
    </row>
    <row r="89" spans="2:66" ht="3" customHeight="1" x14ac:dyDescent="0.3">
      <c r="B89" s="22"/>
      <c r="C89" s="4"/>
    </row>
    <row r="90" spans="2:66" x14ac:dyDescent="0.3">
      <c r="C90" s="31" t="s">
        <v>114</v>
      </c>
      <c r="D90" s="31"/>
      <c r="E90" s="31"/>
      <c r="F90" s="31"/>
      <c r="G90" s="39">
        <f>SUM(G89)</f>
        <v>0</v>
      </c>
      <c r="H90" s="39">
        <f t="shared" ref="H90:AD90" si="440">SUM(H89)</f>
        <v>0</v>
      </c>
      <c r="I90" s="39">
        <f t="shared" si="440"/>
        <v>0</v>
      </c>
      <c r="J90" s="39">
        <f t="shared" si="440"/>
        <v>0</v>
      </c>
      <c r="K90" s="39">
        <f t="shared" si="440"/>
        <v>0</v>
      </c>
      <c r="L90" s="39">
        <f t="shared" si="440"/>
        <v>0</v>
      </c>
      <c r="M90" s="39">
        <f t="shared" si="440"/>
        <v>0</v>
      </c>
      <c r="N90" s="39">
        <f t="shared" si="440"/>
        <v>0</v>
      </c>
      <c r="O90" s="39">
        <f t="shared" si="440"/>
        <v>0</v>
      </c>
      <c r="P90" s="39">
        <f t="shared" si="440"/>
        <v>0</v>
      </c>
      <c r="Q90" s="39">
        <f t="shared" si="440"/>
        <v>0</v>
      </c>
      <c r="R90" s="39">
        <f t="shared" si="440"/>
        <v>0</v>
      </c>
      <c r="S90" s="39">
        <f t="shared" si="440"/>
        <v>0</v>
      </c>
      <c r="T90" s="39">
        <f t="shared" si="440"/>
        <v>0</v>
      </c>
      <c r="U90" s="39">
        <f t="shared" si="440"/>
        <v>0</v>
      </c>
      <c r="V90" s="39">
        <f t="shared" si="440"/>
        <v>0</v>
      </c>
      <c r="W90" s="39">
        <f t="shared" si="440"/>
        <v>0</v>
      </c>
      <c r="X90" s="39">
        <f t="shared" si="440"/>
        <v>0</v>
      </c>
      <c r="Y90" s="39">
        <f t="shared" si="440"/>
        <v>0</v>
      </c>
      <c r="Z90" s="39">
        <f t="shared" si="440"/>
        <v>0</v>
      </c>
      <c r="AA90" s="39">
        <f t="shared" si="440"/>
        <v>0</v>
      </c>
      <c r="AB90" s="39">
        <f t="shared" si="440"/>
        <v>0</v>
      </c>
      <c r="AC90" s="39">
        <f t="shared" si="440"/>
        <v>0</v>
      </c>
      <c r="AD90" s="39">
        <f t="shared" si="440"/>
        <v>0</v>
      </c>
      <c r="AE90" s="39">
        <f t="shared" ref="AE90:BN90" si="441">SUM(AE89)</f>
        <v>0</v>
      </c>
      <c r="AF90" s="39">
        <f t="shared" si="441"/>
        <v>0</v>
      </c>
      <c r="AG90" s="39">
        <f t="shared" si="441"/>
        <v>0</v>
      </c>
      <c r="AH90" s="39">
        <f t="shared" si="441"/>
        <v>0</v>
      </c>
      <c r="AI90" s="39">
        <f t="shared" si="441"/>
        <v>0</v>
      </c>
      <c r="AJ90" s="39">
        <f t="shared" si="441"/>
        <v>0</v>
      </c>
      <c r="AK90" s="39">
        <f t="shared" si="441"/>
        <v>0</v>
      </c>
      <c r="AL90" s="39">
        <f t="shared" si="441"/>
        <v>0</v>
      </c>
      <c r="AM90" s="39">
        <f t="shared" si="441"/>
        <v>0</v>
      </c>
      <c r="AN90" s="39">
        <f t="shared" si="441"/>
        <v>0</v>
      </c>
      <c r="AO90" s="39">
        <f t="shared" si="441"/>
        <v>0</v>
      </c>
      <c r="AP90" s="39">
        <f t="shared" si="441"/>
        <v>0</v>
      </c>
      <c r="AQ90" s="39">
        <f t="shared" si="441"/>
        <v>0</v>
      </c>
      <c r="AR90" s="39">
        <f t="shared" si="441"/>
        <v>0</v>
      </c>
      <c r="AS90" s="39">
        <f t="shared" si="441"/>
        <v>0</v>
      </c>
      <c r="AT90" s="39">
        <f t="shared" si="441"/>
        <v>0</v>
      </c>
      <c r="AU90" s="39">
        <f t="shared" si="441"/>
        <v>0</v>
      </c>
      <c r="AV90" s="39">
        <f t="shared" si="441"/>
        <v>0</v>
      </c>
      <c r="AW90" s="39">
        <f t="shared" si="441"/>
        <v>0</v>
      </c>
      <c r="AX90" s="39">
        <f t="shared" si="441"/>
        <v>0</v>
      </c>
      <c r="AY90" s="39">
        <f t="shared" si="441"/>
        <v>0</v>
      </c>
      <c r="AZ90" s="39">
        <f t="shared" si="441"/>
        <v>0</v>
      </c>
      <c r="BA90" s="39">
        <f t="shared" si="441"/>
        <v>0</v>
      </c>
      <c r="BB90" s="39">
        <f t="shared" si="441"/>
        <v>0</v>
      </c>
      <c r="BC90" s="39">
        <f t="shared" si="441"/>
        <v>0</v>
      </c>
      <c r="BD90" s="39">
        <f t="shared" si="441"/>
        <v>0</v>
      </c>
      <c r="BE90" s="39">
        <f t="shared" si="441"/>
        <v>0</v>
      </c>
      <c r="BF90" s="39">
        <f t="shared" si="441"/>
        <v>0</v>
      </c>
      <c r="BG90" s="39">
        <f t="shared" si="441"/>
        <v>0</v>
      </c>
      <c r="BH90" s="39">
        <f t="shared" si="441"/>
        <v>0</v>
      </c>
      <c r="BI90" s="39">
        <f t="shared" si="441"/>
        <v>0</v>
      </c>
      <c r="BJ90" s="39">
        <f t="shared" si="441"/>
        <v>0</v>
      </c>
      <c r="BK90" s="39">
        <f t="shared" si="441"/>
        <v>0</v>
      </c>
      <c r="BL90" s="39">
        <f t="shared" si="441"/>
        <v>0</v>
      </c>
      <c r="BM90" s="39">
        <f t="shared" si="441"/>
        <v>0</v>
      </c>
      <c r="BN90" s="39">
        <f t="shared" si="441"/>
        <v>0</v>
      </c>
    </row>
    <row r="92" spans="2:66" x14ac:dyDescent="0.3">
      <c r="B92" s="22" t="s">
        <v>0</v>
      </c>
      <c r="C92" s="4" t="s">
        <v>115</v>
      </c>
      <c r="E92" s="63"/>
    </row>
    <row r="93" spans="2:66" ht="3" customHeight="1" x14ac:dyDescent="0.3">
      <c r="B93" s="22"/>
      <c r="C93" s="4"/>
    </row>
    <row r="94" spans="2:66" ht="14.4" customHeight="1" thickBot="1" x14ac:dyDescent="0.35">
      <c r="B94" s="22"/>
      <c r="C94" t="s">
        <v>139</v>
      </c>
      <c r="E94" s="65">
        <f>Assumptions!$E$69</f>
        <v>1000000</v>
      </c>
      <c r="G94" s="65">
        <f>'Detailed Financials'!G192</f>
        <v>-20399063.524993867</v>
      </c>
      <c r="X94" s="34"/>
      <c r="Y94" s="28"/>
    </row>
    <row r="95" spans="2:66" ht="14.4" customHeight="1" thickBot="1" x14ac:dyDescent="0.35">
      <c r="B95" s="22"/>
      <c r="C95" s="77" t="s">
        <v>141</v>
      </c>
      <c r="D95" s="78"/>
      <c r="E95" s="78"/>
      <c r="F95" s="78"/>
      <c r="G95" s="79">
        <f>IF(G94&gt;E94,0,E94-G94)</f>
        <v>21399063.524993867</v>
      </c>
      <c r="X95" s="34"/>
      <c r="Y95" s="34"/>
    </row>
    <row r="96" spans="2:66" ht="14.4" customHeight="1" x14ac:dyDescent="0.3">
      <c r="B96" s="22"/>
      <c r="C96" s="4"/>
      <c r="X96" s="28"/>
      <c r="Y96" s="34"/>
    </row>
    <row r="97" spans="2:66" ht="14.4" customHeight="1" x14ac:dyDescent="0.3">
      <c r="B97" s="22" t="s">
        <v>0</v>
      </c>
      <c r="C97" s="23" t="s">
        <v>142</v>
      </c>
      <c r="S97" s="37"/>
      <c r="X97" s="34"/>
      <c r="Y97" s="34"/>
    </row>
    <row r="98" spans="2:66" ht="3" customHeight="1" x14ac:dyDescent="0.3">
      <c r="B98" s="22"/>
      <c r="C98" s="4"/>
    </row>
    <row r="99" spans="2:66" ht="14.55" customHeight="1" x14ac:dyDescent="0.3">
      <c r="B99" s="22"/>
      <c r="C99" t="s">
        <v>147</v>
      </c>
      <c r="G99" s="62">
        <f>'Detailed Financials'!G197</f>
        <v>11</v>
      </c>
      <c r="W99" s="9"/>
      <c r="X99" s="34"/>
    </row>
    <row r="100" spans="2:66" ht="14.55" customHeight="1" x14ac:dyDescent="0.3">
      <c r="B100" s="22"/>
      <c r="C100" t="s">
        <v>148</v>
      </c>
      <c r="G100" s="144">
        <f>'Detailed Financials'!G198</f>
        <v>45597</v>
      </c>
    </row>
    <row r="101" spans="2:66" ht="14.55" customHeight="1" x14ac:dyDescent="0.3">
      <c r="B101" s="22"/>
      <c r="C101" t="s">
        <v>149</v>
      </c>
      <c r="E101" s="67"/>
      <c r="G101" s="28">
        <f>G99-6</f>
        <v>5</v>
      </c>
    </row>
    <row r="102" spans="2:66" ht="14.4" customHeight="1" x14ac:dyDescent="0.3">
      <c r="B102" s="22"/>
      <c r="C102" s="4"/>
    </row>
    <row r="103" spans="2:66" ht="14.55" customHeight="1" x14ac:dyDescent="0.3">
      <c r="B103" s="22"/>
      <c r="C103" t="s">
        <v>137</v>
      </c>
      <c r="E103" s="65"/>
      <c r="G103" s="73">
        <f>Assumptions!$E$64</f>
        <v>1000000</v>
      </c>
      <c r="H103" s="27" cm="1">
        <f t="array" ref="H103">_xlfn.IFS($G$99&lt;=1,$G$95, H$7=$G$99,$G$95,1,0)</f>
        <v>0</v>
      </c>
      <c r="I103" s="27" cm="1">
        <f t="array" ref="I103">_xlfn.IFS($G$99&lt;=1,$G$95, I$7=$G$99,$G$95,1,0)</f>
        <v>0</v>
      </c>
      <c r="J103" s="27" cm="1">
        <f t="array" ref="J103">_xlfn.IFS($G$99&lt;=1,$G$95, J$7=$G$99,$G$95,1,0)</f>
        <v>0</v>
      </c>
      <c r="K103" s="27" cm="1">
        <f t="array" ref="K103">_xlfn.IFS($G$99&lt;=1,$G$95, K$7=$G$99,$G$95,1,0)</f>
        <v>0</v>
      </c>
      <c r="L103" s="27" cm="1">
        <f t="array" ref="L103">_xlfn.IFS($G$99&lt;=1,$G$95, L$7=$G$99,$G$95,1,0)</f>
        <v>0</v>
      </c>
      <c r="M103" s="27" cm="1">
        <f t="array" ref="M103">_xlfn.IFS($G$99&lt;=1,$G$95, M$7=$G$99,$G$95,1,0)</f>
        <v>0</v>
      </c>
      <c r="N103" s="27" cm="1">
        <f t="array" ref="N103">_xlfn.IFS($G$99&lt;=1,$G$95, N$7=$G$99,$G$95,1,0)</f>
        <v>0</v>
      </c>
      <c r="O103" s="27" cm="1">
        <f t="array" ref="O103">_xlfn.IFS($G$99&lt;=1,$G$95, O$7=$G$99,$G$95,1,0)</f>
        <v>0</v>
      </c>
      <c r="P103" s="27" cm="1">
        <f t="array" ref="P103">_xlfn.IFS($G$99&lt;=1,$G$95, P$7=$G$99,$G$95,1,0)</f>
        <v>0</v>
      </c>
      <c r="Q103" s="27" cm="1">
        <f t="array" ref="Q103">_xlfn.IFS($G$99&lt;=1,$G$95, Q$7=$G$99,$G$95,1,0)</f>
        <v>21399063.524993867</v>
      </c>
      <c r="R103" s="27" cm="1">
        <f t="array" ref="R103">_xlfn.IFS($G$99&lt;=1,$G$95, R$7=$G$99,$G$95,1,0)</f>
        <v>0</v>
      </c>
      <c r="S103" s="27" cm="1">
        <f t="array" ref="S103">_xlfn.IFS($G$99&lt;=1,$G$95, S$7=$G$99,$G$95,1,0)</f>
        <v>0</v>
      </c>
      <c r="T103" s="27" cm="1">
        <f t="array" ref="T103">_xlfn.IFS($G$99&lt;=1,$G$95, T$7=$G$99,$G$95,1,0)</f>
        <v>0</v>
      </c>
      <c r="U103" s="27" cm="1">
        <f t="array" ref="U103">_xlfn.IFS($G$99&lt;=1,$G$95, U$7=$G$99,$G$95,1,0)</f>
        <v>0</v>
      </c>
      <c r="V103" s="27" cm="1">
        <f t="array" ref="V103">_xlfn.IFS($G$99&lt;=1,$G$95, V$7=$G$99,$G$95,1,0)</f>
        <v>0</v>
      </c>
      <c r="W103" s="27" cm="1">
        <f t="array" ref="W103">_xlfn.IFS($G$99&lt;=1,$G$95, W$7=$G$99,$G$95,1,0)</f>
        <v>0</v>
      </c>
      <c r="X103" s="27" cm="1">
        <f t="array" ref="X103">_xlfn.IFS($G$99&lt;=1,$G$95, X$7=$G$99,$G$95,1,0)</f>
        <v>0</v>
      </c>
      <c r="Y103" s="27" cm="1">
        <f t="array" ref="Y103">_xlfn.IFS($G$99&lt;=1,$G$95, Y$7=$G$99,$G$95,1,0)</f>
        <v>0</v>
      </c>
      <c r="Z103" s="27" cm="1">
        <f t="array" ref="Z103">_xlfn.IFS($G$99&lt;=1,$G$95, Z$7=$G$99,$G$95,1,0)</f>
        <v>0</v>
      </c>
      <c r="AA103" s="27" cm="1">
        <f t="array" ref="AA103">_xlfn.IFS($G$99&lt;=1,$G$95, AA$7=$G$99,$G$95,1,0)</f>
        <v>0</v>
      </c>
      <c r="AB103" s="27" cm="1">
        <f t="array" ref="AB103">_xlfn.IFS($G$99&lt;=1,$G$95, AB$7=$G$99,$G$95,1,0)</f>
        <v>0</v>
      </c>
      <c r="AC103" s="27" cm="1">
        <f t="array" ref="AC103">_xlfn.IFS($G$99&lt;=1,$G$95, AC$7=$G$99,$G$95,1,0)</f>
        <v>0</v>
      </c>
      <c r="AD103" s="27" cm="1">
        <f t="array" ref="AD103">_xlfn.IFS($G$99&lt;=1,$G$95, AD$7=$G$99,$G$95,1,0)</f>
        <v>0</v>
      </c>
      <c r="AE103" s="27" cm="1">
        <f t="array" ref="AE103">_xlfn.IFS($G$99&lt;=1,$G$95, AE$7=$G$99,$G$95,1,0)</f>
        <v>0</v>
      </c>
      <c r="AF103" s="27" cm="1">
        <f t="array" ref="AF103">_xlfn.IFS($G$99&lt;=1,$G$95, AF$7=$G$99,$G$95,1,0)</f>
        <v>0</v>
      </c>
      <c r="AG103" s="27" cm="1">
        <f t="array" ref="AG103">_xlfn.IFS($G$99&lt;=1,$G$95, AG$7=$G$99,$G$95,1,0)</f>
        <v>0</v>
      </c>
      <c r="AH103" s="27" cm="1">
        <f t="array" ref="AH103">_xlfn.IFS($G$99&lt;=1,$G$95, AH$7=$G$99,$G$95,1,0)</f>
        <v>0</v>
      </c>
      <c r="AI103" s="27" cm="1">
        <f t="array" ref="AI103">_xlfn.IFS($G$99&lt;=1,$G$95, AI$7=$G$99,$G$95,1,0)</f>
        <v>0</v>
      </c>
      <c r="AJ103" s="27" cm="1">
        <f t="array" ref="AJ103">_xlfn.IFS($G$99&lt;=1,$G$95, AJ$7=$G$99,$G$95,1,0)</f>
        <v>0</v>
      </c>
      <c r="AK103" s="27" cm="1">
        <f t="array" ref="AK103">_xlfn.IFS($G$99&lt;=1,$G$95, AK$7=$G$99,$G$95,1,0)</f>
        <v>0</v>
      </c>
      <c r="AL103" s="27" cm="1">
        <f t="array" ref="AL103">_xlfn.IFS($G$99&lt;=1,$G$95, AL$7=$G$99,$G$95,1,0)</f>
        <v>0</v>
      </c>
      <c r="AM103" s="27" cm="1">
        <f t="array" ref="AM103">_xlfn.IFS($G$99&lt;=1,$G$95, AM$7=$G$99,$G$95,1,0)</f>
        <v>0</v>
      </c>
      <c r="AN103" s="27" cm="1">
        <f t="array" ref="AN103">_xlfn.IFS($G$99&lt;=1,$G$95, AN$7=$G$99,$G$95,1,0)</f>
        <v>0</v>
      </c>
      <c r="AO103" s="27" cm="1">
        <f t="array" ref="AO103">_xlfn.IFS($G$99&lt;=1,$G$95, AO$7=$G$99,$G$95,1,0)</f>
        <v>0</v>
      </c>
      <c r="AP103" s="27" cm="1">
        <f t="array" ref="AP103">_xlfn.IFS($G$99&lt;=1,$G$95, AP$7=$G$99,$G$95,1,0)</f>
        <v>0</v>
      </c>
      <c r="AQ103" s="27" cm="1">
        <f t="array" ref="AQ103">_xlfn.IFS($G$99&lt;=1,$G$95, AQ$7=$G$99,$G$95,1,0)</f>
        <v>0</v>
      </c>
      <c r="AR103" s="27" cm="1">
        <f t="array" ref="AR103">_xlfn.IFS($G$99&lt;=1,$G$95, AR$7=$G$99,$G$95,1,0)</f>
        <v>0</v>
      </c>
      <c r="AS103" s="27" cm="1">
        <f t="array" ref="AS103">_xlfn.IFS($G$99&lt;=1,$G$95, AS$7=$G$99,$G$95,1,0)</f>
        <v>0</v>
      </c>
      <c r="AT103" s="27" cm="1">
        <f t="array" ref="AT103">_xlfn.IFS($G$99&lt;=1,$G$95, AT$7=$G$99,$G$95,1,0)</f>
        <v>0</v>
      </c>
      <c r="AU103" s="27" cm="1">
        <f t="array" ref="AU103">_xlfn.IFS($G$99&lt;=1,$G$95, AU$7=$G$99,$G$95,1,0)</f>
        <v>0</v>
      </c>
      <c r="AV103" s="27" cm="1">
        <f t="array" ref="AV103">_xlfn.IFS($G$99&lt;=1,$G$95, AV$7=$G$99,$G$95,1,0)</f>
        <v>0</v>
      </c>
      <c r="AW103" s="27" cm="1">
        <f t="array" ref="AW103">_xlfn.IFS($G$99&lt;=1,$G$95, AW$7=$G$99,$G$95,1,0)</f>
        <v>0</v>
      </c>
      <c r="AX103" s="27" cm="1">
        <f t="array" ref="AX103">_xlfn.IFS($G$99&lt;=1,$G$95, AX$7=$G$99,$G$95,1,0)</f>
        <v>0</v>
      </c>
      <c r="AY103" s="27" cm="1">
        <f t="array" ref="AY103">_xlfn.IFS($G$99&lt;=1,$G$95, AY$7=$G$99,$G$95,1,0)</f>
        <v>0</v>
      </c>
      <c r="AZ103" s="27" cm="1">
        <f t="array" ref="AZ103">_xlfn.IFS($G$99&lt;=1,$G$95, AZ$7=$G$99,$G$95,1,0)</f>
        <v>0</v>
      </c>
      <c r="BA103" s="27" cm="1">
        <f t="array" ref="BA103">_xlfn.IFS($G$99&lt;=1,$G$95, BA$7=$G$99,$G$95,1,0)</f>
        <v>0</v>
      </c>
      <c r="BB103" s="27" cm="1">
        <f t="array" ref="BB103">_xlfn.IFS($G$99&lt;=1,$G$95, BB$7=$G$99,$G$95,1,0)</f>
        <v>0</v>
      </c>
      <c r="BC103" s="27" cm="1">
        <f t="array" ref="BC103">_xlfn.IFS($G$99&lt;=1,$G$95, BC$7=$G$99,$G$95,1,0)</f>
        <v>0</v>
      </c>
      <c r="BD103" s="27" cm="1">
        <f t="array" ref="BD103">_xlfn.IFS($G$99&lt;=1,$G$95, BD$7=$G$99,$G$95,1,0)</f>
        <v>0</v>
      </c>
      <c r="BE103" s="27" cm="1">
        <f t="array" ref="BE103">_xlfn.IFS($G$99&lt;=1,$G$95, BE$7=$G$99,$G$95,1,0)</f>
        <v>0</v>
      </c>
      <c r="BF103" s="27" cm="1">
        <f t="array" ref="BF103">_xlfn.IFS($G$99&lt;=1,$G$95, BF$7=$G$99,$G$95,1,0)</f>
        <v>0</v>
      </c>
      <c r="BG103" s="27" cm="1">
        <f t="array" ref="BG103">_xlfn.IFS($G$99&lt;=1,$G$95, BG$7=$G$99,$G$95,1,0)</f>
        <v>0</v>
      </c>
      <c r="BH103" s="27" cm="1">
        <f t="array" ref="BH103">_xlfn.IFS($G$99&lt;=1,$G$95, BH$7=$G$99,$G$95,1,0)</f>
        <v>0</v>
      </c>
      <c r="BI103" s="27" cm="1">
        <f t="array" ref="BI103">_xlfn.IFS($G$99&lt;=1,$G$95, BI$7=$G$99,$G$95,1,0)</f>
        <v>0</v>
      </c>
      <c r="BJ103" s="27" cm="1">
        <f t="array" ref="BJ103">_xlfn.IFS($G$99&lt;=1,$G$95, BJ$7=$G$99,$G$95,1,0)</f>
        <v>0</v>
      </c>
      <c r="BK103" s="27" cm="1">
        <f t="array" ref="BK103">_xlfn.IFS($G$99&lt;=1,$G$95, BK$7=$G$99,$G$95,1,0)</f>
        <v>0</v>
      </c>
      <c r="BL103" s="27" cm="1">
        <f t="array" ref="BL103">_xlfn.IFS($G$99&lt;=1,$G$95, BL$7=$G$99,$G$95,1,0)</f>
        <v>0</v>
      </c>
      <c r="BM103" s="27" cm="1">
        <f t="array" ref="BM103">_xlfn.IFS($G$99&lt;=1,$G$95, BM$7=$G$99,$G$95,1,0)</f>
        <v>0</v>
      </c>
      <c r="BN103" s="27" cm="1">
        <f t="array" ref="BN103">_xlfn.IFS($G$99&lt;=1,$G$95, BN$7=$G$99,$G$95,1,0)</f>
        <v>0</v>
      </c>
    </row>
    <row r="104" spans="2:66" x14ac:dyDescent="0.3">
      <c r="C104" s="31" t="s">
        <v>115</v>
      </c>
      <c r="D104" s="31"/>
      <c r="E104" s="31"/>
      <c r="F104" s="31"/>
      <c r="G104" s="39">
        <f t="shared" ref="G104:M104" si="442">SUM(G103:G103)</f>
        <v>1000000</v>
      </c>
      <c r="H104" s="39">
        <f t="shared" si="442"/>
        <v>0</v>
      </c>
      <c r="I104" s="39">
        <f t="shared" si="442"/>
        <v>0</v>
      </c>
      <c r="J104" s="39">
        <f t="shared" si="442"/>
        <v>0</v>
      </c>
      <c r="K104" s="39">
        <f t="shared" si="442"/>
        <v>0</v>
      </c>
      <c r="L104" s="39">
        <f t="shared" si="442"/>
        <v>0</v>
      </c>
      <c r="M104" s="39">
        <f t="shared" si="442"/>
        <v>0</v>
      </c>
      <c r="N104" s="39">
        <f t="shared" ref="N104:AD104" si="443">SUM(N103:N103)</f>
        <v>0</v>
      </c>
      <c r="O104" s="39">
        <f t="shared" si="443"/>
        <v>0</v>
      </c>
      <c r="P104" s="39">
        <f t="shared" si="443"/>
        <v>0</v>
      </c>
      <c r="Q104" s="39">
        <f t="shared" si="443"/>
        <v>21399063.524993867</v>
      </c>
      <c r="R104" s="39">
        <f t="shared" si="443"/>
        <v>0</v>
      </c>
      <c r="S104" s="39">
        <f t="shared" si="443"/>
        <v>0</v>
      </c>
      <c r="T104" s="39">
        <f t="shared" si="443"/>
        <v>0</v>
      </c>
      <c r="U104" s="39">
        <f t="shared" si="443"/>
        <v>0</v>
      </c>
      <c r="V104" s="39">
        <f t="shared" si="443"/>
        <v>0</v>
      </c>
      <c r="W104" s="39">
        <f t="shared" si="443"/>
        <v>0</v>
      </c>
      <c r="X104" s="39">
        <f t="shared" si="443"/>
        <v>0</v>
      </c>
      <c r="Y104" s="39">
        <f t="shared" si="443"/>
        <v>0</v>
      </c>
      <c r="Z104" s="39">
        <f t="shared" si="443"/>
        <v>0</v>
      </c>
      <c r="AA104" s="39">
        <f t="shared" si="443"/>
        <v>0</v>
      </c>
      <c r="AB104" s="39">
        <f t="shared" si="443"/>
        <v>0</v>
      </c>
      <c r="AC104" s="39">
        <f t="shared" si="443"/>
        <v>0</v>
      </c>
      <c r="AD104" s="39">
        <f t="shared" si="443"/>
        <v>0</v>
      </c>
      <c r="AE104" s="39">
        <f t="shared" ref="AE104:BN104" si="444">SUM(AE103:AE103)</f>
        <v>0</v>
      </c>
      <c r="AF104" s="39">
        <f t="shared" si="444"/>
        <v>0</v>
      </c>
      <c r="AG104" s="39">
        <f t="shared" si="444"/>
        <v>0</v>
      </c>
      <c r="AH104" s="39">
        <f t="shared" si="444"/>
        <v>0</v>
      </c>
      <c r="AI104" s="39">
        <f t="shared" si="444"/>
        <v>0</v>
      </c>
      <c r="AJ104" s="39">
        <f t="shared" si="444"/>
        <v>0</v>
      </c>
      <c r="AK104" s="39">
        <f t="shared" si="444"/>
        <v>0</v>
      </c>
      <c r="AL104" s="39">
        <f t="shared" si="444"/>
        <v>0</v>
      </c>
      <c r="AM104" s="39">
        <f t="shared" si="444"/>
        <v>0</v>
      </c>
      <c r="AN104" s="39">
        <f t="shared" si="444"/>
        <v>0</v>
      </c>
      <c r="AO104" s="39">
        <f t="shared" si="444"/>
        <v>0</v>
      </c>
      <c r="AP104" s="39">
        <f t="shared" si="444"/>
        <v>0</v>
      </c>
      <c r="AQ104" s="39">
        <f t="shared" si="444"/>
        <v>0</v>
      </c>
      <c r="AR104" s="39">
        <f t="shared" si="444"/>
        <v>0</v>
      </c>
      <c r="AS104" s="39">
        <f t="shared" si="444"/>
        <v>0</v>
      </c>
      <c r="AT104" s="39">
        <f t="shared" si="444"/>
        <v>0</v>
      </c>
      <c r="AU104" s="39">
        <f t="shared" si="444"/>
        <v>0</v>
      </c>
      <c r="AV104" s="39">
        <f t="shared" si="444"/>
        <v>0</v>
      </c>
      <c r="AW104" s="39">
        <f t="shared" si="444"/>
        <v>0</v>
      </c>
      <c r="AX104" s="39">
        <f t="shared" si="444"/>
        <v>0</v>
      </c>
      <c r="AY104" s="39">
        <f t="shared" si="444"/>
        <v>0</v>
      </c>
      <c r="AZ104" s="39">
        <f t="shared" si="444"/>
        <v>0</v>
      </c>
      <c r="BA104" s="39">
        <f t="shared" si="444"/>
        <v>0</v>
      </c>
      <c r="BB104" s="39">
        <f t="shared" si="444"/>
        <v>0</v>
      </c>
      <c r="BC104" s="39">
        <f t="shared" si="444"/>
        <v>0</v>
      </c>
      <c r="BD104" s="39">
        <f t="shared" si="444"/>
        <v>0</v>
      </c>
      <c r="BE104" s="39">
        <f t="shared" si="444"/>
        <v>0</v>
      </c>
      <c r="BF104" s="39">
        <f t="shared" si="444"/>
        <v>0</v>
      </c>
      <c r="BG104" s="39">
        <f t="shared" si="444"/>
        <v>0</v>
      </c>
      <c r="BH104" s="39">
        <f t="shared" si="444"/>
        <v>0</v>
      </c>
      <c r="BI104" s="39">
        <f t="shared" si="444"/>
        <v>0</v>
      </c>
      <c r="BJ104" s="39">
        <f t="shared" si="444"/>
        <v>0</v>
      </c>
      <c r="BK104" s="39">
        <f t="shared" si="444"/>
        <v>0</v>
      </c>
      <c r="BL104" s="39">
        <f t="shared" si="444"/>
        <v>0</v>
      </c>
      <c r="BM104" s="39">
        <f t="shared" si="444"/>
        <v>0</v>
      </c>
      <c r="BN104" s="39">
        <f t="shared" si="444"/>
        <v>0</v>
      </c>
    </row>
    <row r="106" spans="2:66" x14ac:dyDescent="0.3">
      <c r="B106" s="22" t="s">
        <v>0</v>
      </c>
      <c r="C106" s="4" t="s">
        <v>116</v>
      </c>
    </row>
    <row r="107" spans="2:66" ht="3" customHeight="1" x14ac:dyDescent="0.3"/>
    <row r="108" spans="2:66" ht="14.4" customHeight="1" x14ac:dyDescent="0.3">
      <c r="C108" t="str">
        <f>C86</f>
        <v>Cash from Operations</v>
      </c>
      <c r="G108" s="37">
        <f t="shared" ref="G108:AD108" si="445">G86</f>
        <v>-62375.833333333328</v>
      </c>
      <c r="H108" s="37">
        <f t="shared" si="445"/>
        <v>-61346.416666666672</v>
      </c>
      <c r="I108" s="37">
        <f t="shared" si="445"/>
        <v>-60364.599999999991</v>
      </c>
      <c r="J108" s="37">
        <f t="shared" si="445"/>
        <v>-77566.583333333328</v>
      </c>
      <c r="K108" s="37">
        <f t="shared" si="445"/>
        <v>-75803.399999999994</v>
      </c>
      <c r="L108" s="37">
        <f t="shared" si="445"/>
        <v>-74865.216666666674</v>
      </c>
      <c r="M108" s="37">
        <f t="shared" si="445"/>
        <v>-98609.293333333349</v>
      </c>
      <c r="N108" s="37">
        <f t="shared" si="445"/>
        <v>-96001.223333333328</v>
      </c>
      <c r="O108" s="37">
        <f t="shared" si="445"/>
        <v>-94981.203333333309</v>
      </c>
      <c r="P108" s="37">
        <f t="shared" si="445"/>
        <v>-131091.79876666667</v>
      </c>
      <c r="Q108" s="37">
        <f t="shared" si="445"/>
        <v>-127405.01179999998</v>
      </c>
      <c r="R108" s="37">
        <f t="shared" si="445"/>
        <v>-132040.71776666664</v>
      </c>
      <c r="S108" s="37">
        <f t="shared" si="445"/>
        <v>-143332.92606299999</v>
      </c>
      <c r="T108" s="37">
        <f t="shared" si="445"/>
        <v>-137300.50395433337</v>
      </c>
      <c r="U108" s="37">
        <f t="shared" si="445"/>
        <v>-134492.46705400001</v>
      </c>
      <c r="V108" s="37">
        <f t="shared" si="445"/>
        <v>-177872.02763128004</v>
      </c>
      <c r="W108" s="37">
        <f t="shared" si="445"/>
        <v>-169711.03505032</v>
      </c>
      <c r="X108" s="37">
        <f t="shared" si="445"/>
        <v>-166253.43925061001</v>
      </c>
      <c r="Y108" s="37">
        <f t="shared" si="445"/>
        <v>-192675.07063700462</v>
      </c>
      <c r="Z108" s="37">
        <f t="shared" si="445"/>
        <v>-199737.07396961169</v>
      </c>
      <c r="AA108" s="37">
        <f t="shared" si="445"/>
        <v>-194989.25098185043</v>
      </c>
      <c r="AB108" s="37">
        <f t="shared" si="445"/>
        <v>-222130.58620480599</v>
      </c>
      <c r="AC108" s="37">
        <f t="shared" si="445"/>
        <v>-226017.69952526712</v>
      </c>
      <c r="AD108" s="37">
        <f t="shared" si="445"/>
        <v>-240191.72012567392</v>
      </c>
      <c r="AE108" s="37">
        <f t="shared" ref="AE108:BN108" si="446">AE86</f>
        <v>-260223.40542175889</v>
      </c>
      <c r="AF108" s="37">
        <f t="shared" si="446"/>
        <v>-265261.98736464896</v>
      </c>
      <c r="AG108" s="37">
        <f t="shared" si="446"/>
        <v>-262576.75470092008</v>
      </c>
      <c r="AH108" s="37">
        <f t="shared" si="446"/>
        <v>-308488.0512490602</v>
      </c>
      <c r="AI108" s="37">
        <f t="shared" si="446"/>
        <v>-283569.92003201914</v>
      </c>
      <c r="AJ108" s="37">
        <f t="shared" si="446"/>
        <v>-296088.6721967762</v>
      </c>
      <c r="AK108" s="37">
        <f t="shared" si="446"/>
        <v>-340856.0944032491</v>
      </c>
      <c r="AL108" s="37">
        <f t="shared" si="446"/>
        <v>-316041.16595194902</v>
      </c>
      <c r="AM108" s="37">
        <f t="shared" si="446"/>
        <v>-330862.30292085477</v>
      </c>
      <c r="AN108" s="37">
        <f t="shared" si="446"/>
        <v>-375584.84661286115</v>
      </c>
      <c r="AO108" s="37">
        <f t="shared" si="446"/>
        <v>-358400.63864367333</v>
      </c>
      <c r="AP108" s="37">
        <f t="shared" si="446"/>
        <v>-368801.10642950132</v>
      </c>
      <c r="AQ108" s="37">
        <f t="shared" si="446"/>
        <v>-410740.98563050438</v>
      </c>
      <c r="AR108" s="37">
        <f t="shared" si="446"/>
        <v>-386965.59901971836</v>
      </c>
      <c r="AS108" s="37">
        <f t="shared" si="446"/>
        <v>-390227.5677376517</v>
      </c>
      <c r="AT108" s="37">
        <f t="shared" si="446"/>
        <v>-460718.06748916721</v>
      </c>
      <c r="AU108" s="37">
        <f t="shared" si="446"/>
        <v>-423827.33885262499</v>
      </c>
      <c r="AV108" s="37">
        <f t="shared" si="446"/>
        <v>-437635.82259634964</v>
      </c>
      <c r="AW108" s="37">
        <f t="shared" si="446"/>
        <v>-513902.24861840752</v>
      </c>
      <c r="AX108" s="37">
        <f t="shared" si="446"/>
        <v>-473324.49394919502</v>
      </c>
      <c r="AY108" s="37">
        <f t="shared" si="446"/>
        <v>-482148.59545510879</v>
      </c>
      <c r="AZ108" s="37">
        <f t="shared" si="446"/>
        <v>-582025.15126639954</v>
      </c>
      <c r="BA108" s="37">
        <f t="shared" si="446"/>
        <v>-519096.96268524497</v>
      </c>
      <c r="BB108" s="37">
        <f t="shared" si="446"/>
        <v>-536327.94881677476</v>
      </c>
      <c r="BC108" s="37">
        <f t="shared" si="446"/>
        <v>-634451.87030082615</v>
      </c>
      <c r="BD108" s="37">
        <f t="shared" si="446"/>
        <v>-574575.24281308358</v>
      </c>
      <c r="BE108" s="37">
        <f t="shared" si="446"/>
        <v>-594767.05579079222</v>
      </c>
      <c r="BF108" s="37">
        <f t="shared" si="446"/>
        <v>-731492.70977642154</v>
      </c>
      <c r="BG108" s="37">
        <f t="shared" si="446"/>
        <v>-626564.57226608892</v>
      </c>
      <c r="BH108" s="37">
        <f t="shared" si="446"/>
        <v>-656397.46434799442</v>
      </c>
      <c r="BI108" s="37">
        <f t="shared" si="446"/>
        <v>-835389.23303015321</v>
      </c>
      <c r="BJ108" s="37">
        <f t="shared" si="446"/>
        <v>-712277.23268162599</v>
      </c>
      <c r="BK108" s="37">
        <f t="shared" si="446"/>
        <v>-736350.82412762055</v>
      </c>
      <c r="BL108" s="37">
        <f t="shared" si="446"/>
        <v>-964686.19283378124</v>
      </c>
      <c r="BM108" s="37">
        <f t="shared" si="446"/>
        <v>-812953.34354801942</v>
      </c>
      <c r="BN108" s="37">
        <f t="shared" si="446"/>
        <v>-838306.95665195049</v>
      </c>
    </row>
    <row r="109" spans="2:66" ht="14.4" customHeight="1" x14ac:dyDescent="0.3">
      <c r="C109" t="str">
        <f>C90</f>
        <v>Cash from Investing</v>
      </c>
      <c r="G109" s="27">
        <f t="shared" ref="G109:AD109" si="447">G90</f>
        <v>0</v>
      </c>
      <c r="H109" s="27">
        <f t="shared" si="447"/>
        <v>0</v>
      </c>
      <c r="I109" s="27">
        <f t="shared" si="447"/>
        <v>0</v>
      </c>
      <c r="J109" s="27">
        <f t="shared" si="447"/>
        <v>0</v>
      </c>
      <c r="K109" s="27">
        <f t="shared" si="447"/>
        <v>0</v>
      </c>
      <c r="L109" s="27">
        <f t="shared" si="447"/>
        <v>0</v>
      </c>
      <c r="M109" s="27">
        <f t="shared" si="447"/>
        <v>0</v>
      </c>
      <c r="N109" s="27">
        <f t="shared" si="447"/>
        <v>0</v>
      </c>
      <c r="O109" s="27">
        <f t="shared" si="447"/>
        <v>0</v>
      </c>
      <c r="P109" s="27">
        <f t="shared" si="447"/>
        <v>0</v>
      </c>
      <c r="Q109" s="27">
        <f t="shared" si="447"/>
        <v>0</v>
      </c>
      <c r="R109" s="27">
        <f t="shared" si="447"/>
        <v>0</v>
      </c>
      <c r="S109" s="27">
        <f t="shared" si="447"/>
        <v>0</v>
      </c>
      <c r="T109" s="27">
        <f t="shared" si="447"/>
        <v>0</v>
      </c>
      <c r="U109" s="27">
        <f t="shared" si="447"/>
        <v>0</v>
      </c>
      <c r="V109" s="27">
        <f t="shared" si="447"/>
        <v>0</v>
      </c>
      <c r="W109" s="27">
        <f t="shared" si="447"/>
        <v>0</v>
      </c>
      <c r="X109" s="27">
        <f t="shared" si="447"/>
        <v>0</v>
      </c>
      <c r="Y109" s="27">
        <f t="shared" si="447"/>
        <v>0</v>
      </c>
      <c r="Z109" s="27">
        <f t="shared" si="447"/>
        <v>0</v>
      </c>
      <c r="AA109" s="27">
        <f t="shared" si="447"/>
        <v>0</v>
      </c>
      <c r="AB109" s="27">
        <f t="shared" si="447"/>
        <v>0</v>
      </c>
      <c r="AC109" s="27">
        <f t="shared" si="447"/>
        <v>0</v>
      </c>
      <c r="AD109" s="27">
        <f t="shared" si="447"/>
        <v>0</v>
      </c>
      <c r="AE109" s="27">
        <f t="shared" ref="AE109:BN109" si="448">AE90</f>
        <v>0</v>
      </c>
      <c r="AF109" s="27">
        <f t="shared" si="448"/>
        <v>0</v>
      </c>
      <c r="AG109" s="27">
        <f t="shared" si="448"/>
        <v>0</v>
      </c>
      <c r="AH109" s="27">
        <f t="shared" si="448"/>
        <v>0</v>
      </c>
      <c r="AI109" s="27">
        <f t="shared" si="448"/>
        <v>0</v>
      </c>
      <c r="AJ109" s="27">
        <f t="shared" si="448"/>
        <v>0</v>
      </c>
      <c r="AK109" s="27">
        <f t="shared" si="448"/>
        <v>0</v>
      </c>
      <c r="AL109" s="27">
        <f t="shared" si="448"/>
        <v>0</v>
      </c>
      <c r="AM109" s="27">
        <f t="shared" si="448"/>
        <v>0</v>
      </c>
      <c r="AN109" s="27">
        <f t="shared" si="448"/>
        <v>0</v>
      </c>
      <c r="AO109" s="27">
        <f t="shared" si="448"/>
        <v>0</v>
      </c>
      <c r="AP109" s="27">
        <f t="shared" si="448"/>
        <v>0</v>
      </c>
      <c r="AQ109" s="27">
        <f t="shared" si="448"/>
        <v>0</v>
      </c>
      <c r="AR109" s="27">
        <f t="shared" si="448"/>
        <v>0</v>
      </c>
      <c r="AS109" s="27">
        <f t="shared" si="448"/>
        <v>0</v>
      </c>
      <c r="AT109" s="27">
        <f t="shared" si="448"/>
        <v>0</v>
      </c>
      <c r="AU109" s="27">
        <f t="shared" si="448"/>
        <v>0</v>
      </c>
      <c r="AV109" s="27">
        <f t="shared" si="448"/>
        <v>0</v>
      </c>
      <c r="AW109" s="27">
        <f t="shared" si="448"/>
        <v>0</v>
      </c>
      <c r="AX109" s="27">
        <f t="shared" si="448"/>
        <v>0</v>
      </c>
      <c r="AY109" s="27">
        <f t="shared" si="448"/>
        <v>0</v>
      </c>
      <c r="AZ109" s="27">
        <f t="shared" si="448"/>
        <v>0</v>
      </c>
      <c r="BA109" s="27">
        <f t="shared" si="448"/>
        <v>0</v>
      </c>
      <c r="BB109" s="27">
        <f t="shared" si="448"/>
        <v>0</v>
      </c>
      <c r="BC109" s="27">
        <f t="shared" si="448"/>
        <v>0</v>
      </c>
      <c r="BD109" s="27">
        <f t="shared" si="448"/>
        <v>0</v>
      </c>
      <c r="BE109" s="27">
        <f t="shared" si="448"/>
        <v>0</v>
      </c>
      <c r="BF109" s="27">
        <f t="shared" si="448"/>
        <v>0</v>
      </c>
      <c r="BG109" s="27">
        <f t="shared" si="448"/>
        <v>0</v>
      </c>
      <c r="BH109" s="27">
        <f t="shared" si="448"/>
        <v>0</v>
      </c>
      <c r="BI109" s="27">
        <f t="shared" si="448"/>
        <v>0</v>
      </c>
      <c r="BJ109" s="27">
        <f t="shared" si="448"/>
        <v>0</v>
      </c>
      <c r="BK109" s="27">
        <f t="shared" si="448"/>
        <v>0</v>
      </c>
      <c r="BL109" s="27">
        <f t="shared" si="448"/>
        <v>0</v>
      </c>
      <c r="BM109" s="27">
        <f t="shared" si="448"/>
        <v>0</v>
      </c>
      <c r="BN109" s="27">
        <f t="shared" si="448"/>
        <v>0</v>
      </c>
    </row>
    <row r="110" spans="2:66" ht="14.4" customHeight="1" x14ac:dyDescent="0.3">
      <c r="C110" t="str">
        <f>C104</f>
        <v>Cash from Financing</v>
      </c>
      <c r="G110" s="27">
        <f>G104</f>
        <v>1000000</v>
      </c>
      <c r="H110" s="27">
        <f t="shared" ref="H110:AD110" si="449">H104</f>
        <v>0</v>
      </c>
      <c r="I110" s="27">
        <f t="shared" si="449"/>
        <v>0</v>
      </c>
      <c r="J110" s="27">
        <f t="shared" si="449"/>
        <v>0</v>
      </c>
      <c r="K110" s="27">
        <f t="shared" si="449"/>
        <v>0</v>
      </c>
      <c r="L110" s="27">
        <f t="shared" si="449"/>
        <v>0</v>
      </c>
      <c r="M110" s="27">
        <f t="shared" si="449"/>
        <v>0</v>
      </c>
      <c r="N110" s="27">
        <f t="shared" si="449"/>
        <v>0</v>
      </c>
      <c r="O110" s="27">
        <f t="shared" si="449"/>
        <v>0</v>
      </c>
      <c r="P110" s="27">
        <f t="shared" si="449"/>
        <v>0</v>
      </c>
      <c r="Q110" s="27">
        <f t="shared" si="449"/>
        <v>21399063.524993867</v>
      </c>
      <c r="R110" s="27">
        <f t="shared" si="449"/>
        <v>0</v>
      </c>
      <c r="S110" s="27">
        <f t="shared" si="449"/>
        <v>0</v>
      </c>
      <c r="T110" s="27">
        <f t="shared" si="449"/>
        <v>0</v>
      </c>
      <c r="U110" s="27">
        <f t="shared" si="449"/>
        <v>0</v>
      </c>
      <c r="V110" s="27">
        <f t="shared" si="449"/>
        <v>0</v>
      </c>
      <c r="W110" s="27">
        <f t="shared" si="449"/>
        <v>0</v>
      </c>
      <c r="X110" s="27">
        <f t="shared" si="449"/>
        <v>0</v>
      </c>
      <c r="Y110" s="27">
        <f t="shared" si="449"/>
        <v>0</v>
      </c>
      <c r="Z110" s="27">
        <f t="shared" si="449"/>
        <v>0</v>
      </c>
      <c r="AA110" s="27">
        <f t="shared" si="449"/>
        <v>0</v>
      </c>
      <c r="AB110" s="27">
        <f t="shared" si="449"/>
        <v>0</v>
      </c>
      <c r="AC110" s="27">
        <f t="shared" si="449"/>
        <v>0</v>
      </c>
      <c r="AD110" s="27">
        <f t="shared" si="449"/>
        <v>0</v>
      </c>
      <c r="AE110" s="27">
        <f t="shared" ref="AE110:BN110" si="450">AE104</f>
        <v>0</v>
      </c>
      <c r="AF110" s="27">
        <f t="shared" si="450"/>
        <v>0</v>
      </c>
      <c r="AG110" s="27">
        <f t="shared" si="450"/>
        <v>0</v>
      </c>
      <c r="AH110" s="27">
        <f t="shared" si="450"/>
        <v>0</v>
      </c>
      <c r="AI110" s="27">
        <f t="shared" si="450"/>
        <v>0</v>
      </c>
      <c r="AJ110" s="27">
        <f t="shared" si="450"/>
        <v>0</v>
      </c>
      <c r="AK110" s="27">
        <f t="shared" si="450"/>
        <v>0</v>
      </c>
      <c r="AL110" s="27">
        <f t="shared" si="450"/>
        <v>0</v>
      </c>
      <c r="AM110" s="27">
        <f t="shared" si="450"/>
        <v>0</v>
      </c>
      <c r="AN110" s="27">
        <f t="shared" si="450"/>
        <v>0</v>
      </c>
      <c r="AO110" s="27">
        <f t="shared" si="450"/>
        <v>0</v>
      </c>
      <c r="AP110" s="27">
        <f t="shared" si="450"/>
        <v>0</v>
      </c>
      <c r="AQ110" s="27">
        <f t="shared" si="450"/>
        <v>0</v>
      </c>
      <c r="AR110" s="27">
        <f t="shared" si="450"/>
        <v>0</v>
      </c>
      <c r="AS110" s="27">
        <f t="shared" si="450"/>
        <v>0</v>
      </c>
      <c r="AT110" s="27">
        <f t="shared" si="450"/>
        <v>0</v>
      </c>
      <c r="AU110" s="27">
        <f t="shared" si="450"/>
        <v>0</v>
      </c>
      <c r="AV110" s="27">
        <f t="shared" si="450"/>
        <v>0</v>
      </c>
      <c r="AW110" s="27">
        <f t="shared" si="450"/>
        <v>0</v>
      </c>
      <c r="AX110" s="27">
        <f t="shared" si="450"/>
        <v>0</v>
      </c>
      <c r="AY110" s="27">
        <f t="shared" si="450"/>
        <v>0</v>
      </c>
      <c r="AZ110" s="27">
        <f t="shared" si="450"/>
        <v>0</v>
      </c>
      <c r="BA110" s="27">
        <f t="shared" si="450"/>
        <v>0</v>
      </c>
      <c r="BB110" s="27">
        <f t="shared" si="450"/>
        <v>0</v>
      </c>
      <c r="BC110" s="27">
        <f t="shared" si="450"/>
        <v>0</v>
      </c>
      <c r="BD110" s="27">
        <f t="shared" si="450"/>
        <v>0</v>
      </c>
      <c r="BE110" s="27">
        <f t="shared" si="450"/>
        <v>0</v>
      </c>
      <c r="BF110" s="27">
        <f t="shared" si="450"/>
        <v>0</v>
      </c>
      <c r="BG110" s="27">
        <f t="shared" si="450"/>
        <v>0</v>
      </c>
      <c r="BH110" s="27">
        <f t="shared" si="450"/>
        <v>0</v>
      </c>
      <c r="BI110" s="27">
        <f t="shared" si="450"/>
        <v>0</v>
      </c>
      <c r="BJ110" s="27">
        <f t="shared" si="450"/>
        <v>0</v>
      </c>
      <c r="BK110" s="27">
        <f t="shared" si="450"/>
        <v>0</v>
      </c>
      <c r="BL110" s="27">
        <f t="shared" si="450"/>
        <v>0</v>
      </c>
      <c r="BM110" s="27">
        <f t="shared" si="450"/>
        <v>0</v>
      </c>
      <c r="BN110" s="27">
        <f t="shared" si="450"/>
        <v>0</v>
      </c>
    </row>
    <row r="111" spans="2:66" ht="14.4" customHeight="1" x14ac:dyDescent="0.3">
      <c r="C111" s="35" t="s">
        <v>116</v>
      </c>
      <c r="D111" s="35"/>
      <c r="E111" s="35"/>
      <c r="F111" s="35"/>
      <c r="G111" s="40">
        <f>SUM(G108:G110)</f>
        <v>937624.16666666663</v>
      </c>
      <c r="H111" s="40">
        <f t="shared" ref="H111:AD111" si="451">SUM(H108:H110)</f>
        <v>-61346.416666666672</v>
      </c>
      <c r="I111" s="40">
        <f t="shared" si="451"/>
        <v>-60364.599999999991</v>
      </c>
      <c r="J111" s="40">
        <f t="shared" si="451"/>
        <v>-77566.583333333328</v>
      </c>
      <c r="K111" s="40">
        <f t="shared" si="451"/>
        <v>-75803.399999999994</v>
      </c>
      <c r="L111" s="40">
        <f t="shared" si="451"/>
        <v>-74865.216666666674</v>
      </c>
      <c r="M111" s="40">
        <f t="shared" si="451"/>
        <v>-98609.293333333349</v>
      </c>
      <c r="N111" s="40">
        <f t="shared" si="451"/>
        <v>-96001.223333333328</v>
      </c>
      <c r="O111" s="40">
        <f t="shared" si="451"/>
        <v>-94981.203333333309</v>
      </c>
      <c r="P111" s="40">
        <f t="shared" si="451"/>
        <v>-131091.79876666667</v>
      </c>
      <c r="Q111" s="40">
        <f t="shared" si="451"/>
        <v>21271658.513193868</v>
      </c>
      <c r="R111" s="40">
        <f t="shared" si="451"/>
        <v>-132040.71776666664</v>
      </c>
      <c r="S111" s="40">
        <f t="shared" si="451"/>
        <v>-143332.92606299999</v>
      </c>
      <c r="T111" s="40">
        <f t="shared" si="451"/>
        <v>-137300.50395433337</v>
      </c>
      <c r="U111" s="40">
        <f t="shared" si="451"/>
        <v>-134492.46705400001</v>
      </c>
      <c r="V111" s="40">
        <f t="shared" si="451"/>
        <v>-177872.02763128004</v>
      </c>
      <c r="W111" s="40">
        <f t="shared" si="451"/>
        <v>-169711.03505032</v>
      </c>
      <c r="X111" s="40">
        <f t="shared" si="451"/>
        <v>-166253.43925061001</v>
      </c>
      <c r="Y111" s="40">
        <f t="shared" si="451"/>
        <v>-192675.07063700462</v>
      </c>
      <c r="Z111" s="40">
        <f t="shared" si="451"/>
        <v>-199737.07396961169</v>
      </c>
      <c r="AA111" s="40">
        <f t="shared" si="451"/>
        <v>-194989.25098185043</v>
      </c>
      <c r="AB111" s="40">
        <f t="shared" si="451"/>
        <v>-222130.58620480599</v>
      </c>
      <c r="AC111" s="40">
        <f t="shared" si="451"/>
        <v>-226017.69952526712</v>
      </c>
      <c r="AD111" s="40">
        <f t="shared" si="451"/>
        <v>-240191.72012567392</v>
      </c>
      <c r="AE111" s="40">
        <f t="shared" ref="AE111:BN111" si="452">SUM(AE108:AE110)</f>
        <v>-260223.40542175889</v>
      </c>
      <c r="AF111" s="40">
        <f t="shared" si="452"/>
        <v>-265261.98736464896</v>
      </c>
      <c r="AG111" s="40">
        <f t="shared" si="452"/>
        <v>-262576.75470092008</v>
      </c>
      <c r="AH111" s="40">
        <f t="shared" si="452"/>
        <v>-308488.0512490602</v>
      </c>
      <c r="AI111" s="40">
        <f t="shared" si="452"/>
        <v>-283569.92003201914</v>
      </c>
      <c r="AJ111" s="40">
        <f t="shared" si="452"/>
        <v>-296088.6721967762</v>
      </c>
      <c r="AK111" s="40">
        <f t="shared" si="452"/>
        <v>-340856.0944032491</v>
      </c>
      <c r="AL111" s="40">
        <f t="shared" si="452"/>
        <v>-316041.16595194902</v>
      </c>
      <c r="AM111" s="40">
        <f t="shared" si="452"/>
        <v>-330862.30292085477</v>
      </c>
      <c r="AN111" s="40">
        <f t="shared" si="452"/>
        <v>-375584.84661286115</v>
      </c>
      <c r="AO111" s="40">
        <f t="shared" si="452"/>
        <v>-358400.63864367333</v>
      </c>
      <c r="AP111" s="40">
        <f t="shared" si="452"/>
        <v>-368801.10642950132</v>
      </c>
      <c r="AQ111" s="40">
        <f t="shared" si="452"/>
        <v>-410740.98563050438</v>
      </c>
      <c r="AR111" s="40">
        <f t="shared" si="452"/>
        <v>-386965.59901971836</v>
      </c>
      <c r="AS111" s="40">
        <f t="shared" si="452"/>
        <v>-390227.5677376517</v>
      </c>
      <c r="AT111" s="40">
        <f t="shared" si="452"/>
        <v>-460718.06748916721</v>
      </c>
      <c r="AU111" s="40">
        <f t="shared" si="452"/>
        <v>-423827.33885262499</v>
      </c>
      <c r="AV111" s="40">
        <f t="shared" si="452"/>
        <v>-437635.82259634964</v>
      </c>
      <c r="AW111" s="40">
        <f t="shared" si="452"/>
        <v>-513902.24861840752</v>
      </c>
      <c r="AX111" s="40">
        <f t="shared" si="452"/>
        <v>-473324.49394919502</v>
      </c>
      <c r="AY111" s="40">
        <f t="shared" si="452"/>
        <v>-482148.59545510879</v>
      </c>
      <c r="AZ111" s="40">
        <f t="shared" si="452"/>
        <v>-582025.15126639954</v>
      </c>
      <c r="BA111" s="40">
        <f t="shared" si="452"/>
        <v>-519096.96268524497</v>
      </c>
      <c r="BB111" s="40">
        <f t="shared" si="452"/>
        <v>-536327.94881677476</v>
      </c>
      <c r="BC111" s="40">
        <f t="shared" si="452"/>
        <v>-634451.87030082615</v>
      </c>
      <c r="BD111" s="40">
        <f t="shared" si="452"/>
        <v>-574575.24281308358</v>
      </c>
      <c r="BE111" s="40">
        <f t="shared" si="452"/>
        <v>-594767.05579079222</v>
      </c>
      <c r="BF111" s="40">
        <f t="shared" si="452"/>
        <v>-731492.70977642154</v>
      </c>
      <c r="BG111" s="40">
        <f t="shared" si="452"/>
        <v>-626564.57226608892</v>
      </c>
      <c r="BH111" s="40">
        <f t="shared" si="452"/>
        <v>-656397.46434799442</v>
      </c>
      <c r="BI111" s="40">
        <f t="shared" si="452"/>
        <v>-835389.23303015321</v>
      </c>
      <c r="BJ111" s="40">
        <f t="shared" si="452"/>
        <v>-712277.23268162599</v>
      </c>
      <c r="BK111" s="40">
        <f t="shared" si="452"/>
        <v>-736350.82412762055</v>
      </c>
      <c r="BL111" s="40">
        <f t="shared" si="452"/>
        <v>-964686.19283378124</v>
      </c>
      <c r="BM111" s="40">
        <f t="shared" si="452"/>
        <v>-812953.34354801942</v>
      </c>
      <c r="BN111" s="40">
        <f t="shared" si="452"/>
        <v>-838306.95665195049</v>
      </c>
    </row>
    <row r="112" spans="2:66" ht="14.4" customHeight="1" x14ac:dyDescent="0.3"/>
    <row r="113" spans="3:66" ht="14.4" customHeight="1" x14ac:dyDescent="0.3">
      <c r="C113" t="s">
        <v>117</v>
      </c>
      <c r="G113" s="37">
        <f>F115</f>
        <v>0</v>
      </c>
      <c r="H113" s="37">
        <f>G115</f>
        <v>937624.16666666663</v>
      </c>
      <c r="I113" s="37">
        <f t="shared" ref="I113:AD113" si="453">H115</f>
        <v>876277.75</v>
      </c>
      <c r="J113" s="37">
        <f t="shared" si="453"/>
        <v>815913.15</v>
      </c>
      <c r="K113" s="37">
        <f t="shared" si="453"/>
        <v>738346.56666666665</v>
      </c>
      <c r="L113" s="37">
        <f t="shared" si="453"/>
        <v>662543.16666666663</v>
      </c>
      <c r="M113" s="37">
        <f t="shared" si="453"/>
        <v>587677.94999999995</v>
      </c>
      <c r="N113" s="37">
        <f t="shared" si="453"/>
        <v>489068.65666666662</v>
      </c>
      <c r="O113" s="37">
        <f t="shared" si="453"/>
        <v>393067.43333333329</v>
      </c>
      <c r="P113" s="37">
        <f t="shared" si="453"/>
        <v>298086.23</v>
      </c>
      <c r="Q113" s="37">
        <f t="shared" si="453"/>
        <v>166994.43123333331</v>
      </c>
      <c r="R113" s="37">
        <f t="shared" si="453"/>
        <v>21438652.9444272</v>
      </c>
      <c r="S113" s="37">
        <f t="shared" si="453"/>
        <v>21306612.226660535</v>
      </c>
      <c r="T113" s="37">
        <f t="shared" si="453"/>
        <v>21163279.300597534</v>
      </c>
      <c r="U113" s="37">
        <f t="shared" si="453"/>
        <v>21025978.796643201</v>
      </c>
      <c r="V113" s="37">
        <f t="shared" si="453"/>
        <v>20891486.329589203</v>
      </c>
      <c r="W113" s="37">
        <f t="shared" si="453"/>
        <v>20713614.301957924</v>
      </c>
      <c r="X113" s="37">
        <f t="shared" si="453"/>
        <v>20543903.266907603</v>
      </c>
      <c r="Y113" s="37">
        <f t="shared" si="453"/>
        <v>20377649.827656992</v>
      </c>
      <c r="Z113" s="37">
        <f t="shared" si="453"/>
        <v>20184974.757019985</v>
      </c>
      <c r="AA113" s="37">
        <f t="shared" si="453"/>
        <v>19985237.683050375</v>
      </c>
      <c r="AB113" s="37">
        <f t="shared" si="453"/>
        <v>19790248.432068527</v>
      </c>
      <c r="AC113" s="37">
        <f t="shared" si="453"/>
        <v>19568117.845863722</v>
      </c>
      <c r="AD113" s="37">
        <f t="shared" si="453"/>
        <v>19342100.146338455</v>
      </c>
      <c r="AE113" s="37">
        <f t="shared" ref="AE113" si="454">AD115</f>
        <v>19101908.42621278</v>
      </c>
      <c r="AF113" s="37">
        <f t="shared" ref="AF113" si="455">AE115</f>
        <v>18841685.02079102</v>
      </c>
      <c r="AG113" s="37">
        <f t="shared" ref="AG113" si="456">AF115</f>
        <v>18576423.03342637</v>
      </c>
      <c r="AH113" s="37">
        <f t="shared" ref="AH113" si="457">AG115</f>
        <v>18313846.278725449</v>
      </c>
      <c r="AI113" s="37">
        <f t="shared" ref="AI113" si="458">AH115</f>
        <v>18005358.227476388</v>
      </c>
      <c r="AJ113" s="37">
        <f t="shared" ref="AJ113" si="459">AI115</f>
        <v>17721788.307444368</v>
      </c>
      <c r="AK113" s="37">
        <f t="shared" ref="AK113" si="460">AJ115</f>
        <v>17425699.635247592</v>
      </c>
      <c r="AL113" s="37">
        <f t="shared" ref="AL113" si="461">AK115</f>
        <v>17084843.540844344</v>
      </c>
      <c r="AM113" s="37">
        <f t="shared" ref="AM113" si="462">AL115</f>
        <v>16768802.374892395</v>
      </c>
      <c r="AN113" s="37">
        <f t="shared" ref="AN113" si="463">AM115</f>
        <v>16437940.071971539</v>
      </c>
      <c r="AO113" s="37">
        <f t="shared" ref="AO113" si="464">AN115</f>
        <v>16062355.225358678</v>
      </c>
      <c r="AP113" s="37">
        <f t="shared" ref="AP113" si="465">AO115</f>
        <v>15703954.586715005</v>
      </c>
      <c r="AQ113" s="37">
        <f t="shared" ref="AQ113" si="466">AP115</f>
        <v>15335153.480285505</v>
      </c>
      <c r="AR113" s="37">
        <f t="shared" ref="AR113" si="467">AQ115</f>
        <v>14924412.494655</v>
      </c>
      <c r="AS113" s="37">
        <f t="shared" ref="AS113" si="468">AR115</f>
        <v>14537446.895635281</v>
      </c>
      <c r="AT113" s="37">
        <f t="shared" ref="AT113" si="469">AS115</f>
        <v>14147219.327897629</v>
      </c>
      <c r="AU113" s="37">
        <f t="shared" ref="AU113" si="470">AT115</f>
        <v>13686501.260408461</v>
      </c>
      <c r="AV113" s="37">
        <f t="shared" ref="AV113" si="471">AU115</f>
        <v>13262673.921555836</v>
      </c>
      <c r="AW113" s="37">
        <f t="shared" ref="AW113" si="472">AV115</f>
        <v>12825038.098959487</v>
      </c>
      <c r="AX113" s="37">
        <f t="shared" ref="AX113" si="473">AW115</f>
        <v>12311135.85034108</v>
      </c>
      <c r="AY113" s="37">
        <f t="shared" ref="AY113" si="474">AX115</f>
        <v>11837811.356391884</v>
      </c>
      <c r="AZ113" s="37">
        <f t="shared" ref="AZ113" si="475">AY115</f>
        <v>11355662.760936776</v>
      </c>
      <c r="BA113" s="37">
        <f t="shared" ref="BA113" si="476">AZ115</f>
        <v>10773637.609670376</v>
      </c>
      <c r="BB113" s="37">
        <f t="shared" ref="BB113" si="477">BA115</f>
        <v>10254540.646985132</v>
      </c>
      <c r="BC113" s="37">
        <f t="shared" ref="BC113" si="478">BB115</f>
        <v>9718212.6981683578</v>
      </c>
      <c r="BD113" s="37">
        <f t="shared" ref="BD113" si="479">BC115</f>
        <v>9083760.8278675321</v>
      </c>
      <c r="BE113" s="37">
        <f t="shared" ref="BE113" si="480">BD115</f>
        <v>8509185.5850544479</v>
      </c>
      <c r="BF113" s="37">
        <f t="shared" ref="BF113" si="481">BE115</f>
        <v>7914418.5292636557</v>
      </c>
      <c r="BG113" s="37">
        <f t="shared" ref="BG113" si="482">BF115</f>
        <v>7182925.8194872346</v>
      </c>
      <c r="BH113" s="37">
        <f t="shared" ref="BH113" si="483">BG115</f>
        <v>6556361.2472211458</v>
      </c>
      <c r="BI113" s="37">
        <f t="shared" ref="BI113" si="484">BH115</f>
        <v>5899963.7828731518</v>
      </c>
      <c r="BJ113" s="37">
        <f t="shared" ref="BJ113" si="485">BI115</f>
        <v>5064574.5498429984</v>
      </c>
      <c r="BK113" s="37">
        <f t="shared" ref="BK113" si="486">BJ115</f>
        <v>4352297.3171613719</v>
      </c>
      <c r="BL113" s="37">
        <f t="shared" ref="BL113" si="487">BK115</f>
        <v>3615946.4930337514</v>
      </c>
      <c r="BM113" s="37">
        <f t="shared" ref="BM113" si="488">BL115</f>
        <v>2651260.3001999701</v>
      </c>
      <c r="BN113" s="37">
        <f t="shared" ref="BN113" si="489">BM115</f>
        <v>1838306.9566519507</v>
      </c>
    </row>
    <row r="114" spans="3:66" x14ac:dyDescent="0.3">
      <c r="C114" t="s">
        <v>116</v>
      </c>
      <c r="G114" s="27">
        <f>G111</f>
        <v>937624.16666666663</v>
      </c>
      <c r="H114" s="27">
        <f t="shared" ref="H114:AD114" si="490">H111</f>
        <v>-61346.416666666672</v>
      </c>
      <c r="I114" s="27">
        <f t="shared" si="490"/>
        <v>-60364.599999999991</v>
      </c>
      <c r="J114" s="27">
        <f t="shared" si="490"/>
        <v>-77566.583333333328</v>
      </c>
      <c r="K114" s="27">
        <f t="shared" si="490"/>
        <v>-75803.399999999994</v>
      </c>
      <c r="L114" s="27">
        <f t="shared" si="490"/>
        <v>-74865.216666666674</v>
      </c>
      <c r="M114" s="27">
        <f t="shared" si="490"/>
        <v>-98609.293333333349</v>
      </c>
      <c r="N114" s="27">
        <f t="shared" si="490"/>
        <v>-96001.223333333328</v>
      </c>
      <c r="O114" s="27">
        <f t="shared" si="490"/>
        <v>-94981.203333333309</v>
      </c>
      <c r="P114" s="27">
        <f t="shared" si="490"/>
        <v>-131091.79876666667</v>
      </c>
      <c r="Q114" s="27">
        <f t="shared" si="490"/>
        <v>21271658.513193868</v>
      </c>
      <c r="R114" s="27">
        <f t="shared" si="490"/>
        <v>-132040.71776666664</v>
      </c>
      <c r="S114" s="27">
        <f t="shared" si="490"/>
        <v>-143332.92606299999</v>
      </c>
      <c r="T114" s="27">
        <f t="shared" si="490"/>
        <v>-137300.50395433337</v>
      </c>
      <c r="U114" s="27">
        <f t="shared" si="490"/>
        <v>-134492.46705400001</v>
      </c>
      <c r="V114" s="27">
        <f t="shared" si="490"/>
        <v>-177872.02763128004</v>
      </c>
      <c r="W114" s="27">
        <f t="shared" si="490"/>
        <v>-169711.03505032</v>
      </c>
      <c r="X114" s="27">
        <f t="shared" si="490"/>
        <v>-166253.43925061001</v>
      </c>
      <c r="Y114" s="27">
        <f t="shared" si="490"/>
        <v>-192675.07063700462</v>
      </c>
      <c r="Z114" s="27">
        <f t="shared" si="490"/>
        <v>-199737.07396961169</v>
      </c>
      <c r="AA114" s="27">
        <f t="shared" si="490"/>
        <v>-194989.25098185043</v>
      </c>
      <c r="AB114" s="27">
        <f t="shared" si="490"/>
        <v>-222130.58620480599</v>
      </c>
      <c r="AC114" s="27">
        <f t="shared" si="490"/>
        <v>-226017.69952526712</v>
      </c>
      <c r="AD114" s="27">
        <f t="shared" si="490"/>
        <v>-240191.72012567392</v>
      </c>
      <c r="AE114" s="27">
        <f t="shared" ref="AE114:BN114" si="491">AE111</f>
        <v>-260223.40542175889</v>
      </c>
      <c r="AF114" s="27">
        <f t="shared" si="491"/>
        <v>-265261.98736464896</v>
      </c>
      <c r="AG114" s="27">
        <f t="shared" si="491"/>
        <v>-262576.75470092008</v>
      </c>
      <c r="AH114" s="27">
        <f t="shared" si="491"/>
        <v>-308488.0512490602</v>
      </c>
      <c r="AI114" s="27">
        <f t="shared" si="491"/>
        <v>-283569.92003201914</v>
      </c>
      <c r="AJ114" s="27">
        <f t="shared" si="491"/>
        <v>-296088.6721967762</v>
      </c>
      <c r="AK114" s="27">
        <f t="shared" si="491"/>
        <v>-340856.0944032491</v>
      </c>
      <c r="AL114" s="27">
        <f t="shared" si="491"/>
        <v>-316041.16595194902</v>
      </c>
      <c r="AM114" s="27">
        <f t="shared" si="491"/>
        <v>-330862.30292085477</v>
      </c>
      <c r="AN114" s="27">
        <f t="shared" si="491"/>
        <v>-375584.84661286115</v>
      </c>
      <c r="AO114" s="27">
        <f t="shared" si="491"/>
        <v>-358400.63864367333</v>
      </c>
      <c r="AP114" s="27">
        <f t="shared" si="491"/>
        <v>-368801.10642950132</v>
      </c>
      <c r="AQ114" s="27">
        <f t="shared" si="491"/>
        <v>-410740.98563050438</v>
      </c>
      <c r="AR114" s="27">
        <f t="shared" si="491"/>
        <v>-386965.59901971836</v>
      </c>
      <c r="AS114" s="27">
        <f t="shared" si="491"/>
        <v>-390227.5677376517</v>
      </c>
      <c r="AT114" s="27">
        <f t="shared" si="491"/>
        <v>-460718.06748916721</v>
      </c>
      <c r="AU114" s="27">
        <f t="shared" si="491"/>
        <v>-423827.33885262499</v>
      </c>
      <c r="AV114" s="27">
        <f t="shared" si="491"/>
        <v>-437635.82259634964</v>
      </c>
      <c r="AW114" s="27">
        <f t="shared" si="491"/>
        <v>-513902.24861840752</v>
      </c>
      <c r="AX114" s="27">
        <f t="shared" si="491"/>
        <v>-473324.49394919502</v>
      </c>
      <c r="AY114" s="27">
        <f t="shared" si="491"/>
        <v>-482148.59545510879</v>
      </c>
      <c r="AZ114" s="27">
        <f t="shared" si="491"/>
        <v>-582025.15126639954</v>
      </c>
      <c r="BA114" s="27">
        <f t="shared" si="491"/>
        <v>-519096.96268524497</v>
      </c>
      <c r="BB114" s="27">
        <f t="shared" si="491"/>
        <v>-536327.94881677476</v>
      </c>
      <c r="BC114" s="27">
        <f t="shared" si="491"/>
        <v>-634451.87030082615</v>
      </c>
      <c r="BD114" s="27">
        <f t="shared" si="491"/>
        <v>-574575.24281308358</v>
      </c>
      <c r="BE114" s="27">
        <f t="shared" si="491"/>
        <v>-594767.05579079222</v>
      </c>
      <c r="BF114" s="27">
        <f t="shared" si="491"/>
        <v>-731492.70977642154</v>
      </c>
      <c r="BG114" s="27">
        <f t="shared" si="491"/>
        <v>-626564.57226608892</v>
      </c>
      <c r="BH114" s="27">
        <f t="shared" si="491"/>
        <v>-656397.46434799442</v>
      </c>
      <c r="BI114" s="27">
        <f t="shared" si="491"/>
        <v>-835389.23303015321</v>
      </c>
      <c r="BJ114" s="27">
        <f t="shared" si="491"/>
        <v>-712277.23268162599</v>
      </c>
      <c r="BK114" s="27">
        <f t="shared" si="491"/>
        <v>-736350.82412762055</v>
      </c>
      <c r="BL114" s="27">
        <f t="shared" si="491"/>
        <v>-964686.19283378124</v>
      </c>
      <c r="BM114" s="27">
        <f t="shared" si="491"/>
        <v>-812953.34354801942</v>
      </c>
      <c r="BN114" s="27">
        <f t="shared" si="491"/>
        <v>-838306.95665195049</v>
      </c>
    </row>
    <row r="115" spans="3:66" x14ac:dyDescent="0.3">
      <c r="C115" s="44" t="s">
        <v>118</v>
      </c>
      <c r="D115" s="44"/>
      <c r="E115" s="44"/>
      <c r="F115" s="44"/>
      <c r="G115" s="55">
        <f>SUM(G113:G114)</f>
        <v>937624.16666666663</v>
      </c>
      <c r="H115" s="55">
        <f>SUM(H113:H114)</f>
        <v>876277.75</v>
      </c>
      <c r="I115" s="55">
        <f t="shared" ref="I115:AD115" si="492">SUM(I113:I114)</f>
        <v>815913.15</v>
      </c>
      <c r="J115" s="55">
        <f t="shared" si="492"/>
        <v>738346.56666666665</v>
      </c>
      <c r="K115" s="55">
        <f t="shared" si="492"/>
        <v>662543.16666666663</v>
      </c>
      <c r="L115" s="55">
        <f t="shared" si="492"/>
        <v>587677.94999999995</v>
      </c>
      <c r="M115" s="55">
        <f t="shared" si="492"/>
        <v>489068.65666666662</v>
      </c>
      <c r="N115" s="55">
        <f t="shared" si="492"/>
        <v>393067.43333333329</v>
      </c>
      <c r="O115" s="55">
        <f t="shared" si="492"/>
        <v>298086.23</v>
      </c>
      <c r="P115" s="55">
        <f t="shared" si="492"/>
        <v>166994.43123333331</v>
      </c>
      <c r="Q115" s="55">
        <f t="shared" si="492"/>
        <v>21438652.9444272</v>
      </c>
      <c r="R115" s="55">
        <f t="shared" si="492"/>
        <v>21306612.226660535</v>
      </c>
      <c r="S115" s="55">
        <f t="shared" si="492"/>
        <v>21163279.300597534</v>
      </c>
      <c r="T115" s="55">
        <f t="shared" si="492"/>
        <v>21025978.796643201</v>
      </c>
      <c r="U115" s="55">
        <f t="shared" si="492"/>
        <v>20891486.329589203</v>
      </c>
      <c r="V115" s="55">
        <f t="shared" si="492"/>
        <v>20713614.301957924</v>
      </c>
      <c r="W115" s="55">
        <f t="shared" si="492"/>
        <v>20543903.266907603</v>
      </c>
      <c r="X115" s="55">
        <f t="shared" si="492"/>
        <v>20377649.827656992</v>
      </c>
      <c r="Y115" s="55">
        <f t="shared" si="492"/>
        <v>20184974.757019985</v>
      </c>
      <c r="Z115" s="55">
        <f t="shared" si="492"/>
        <v>19985237.683050375</v>
      </c>
      <c r="AA115" s="55">
        <f t="shared" si="492"/>
        <v>19790248.432068527</v>
      </c>
      <c r="AB115" s="55">
        <f t="shared" si="492"/>
        <v>19568117.845863722</v>
      </c>
      <c r="AC115" s="55">
        <f t="shared" si="492"/>
        <v>19342100.146338455</v>
      </c>
      <c r="AD115" s="55">
        <f t="shared" si="492"/>
        <v>19101908.42621278</v>
      </c>
      <c r="AE115" s="55">
        <f t="shared" ref="AE115:BN115" si="493">SUM(AE113:AE114)</f>
        <v>18841685.02079102</v>
      </c>
      <c r="AF115" s="55">
        <f t="shared" si="493"/>
        <v>18576423.03342637</v>
      </c>
      <c r="AG115" s="55">
        <f t="shared" si="493"/>
        <v>18313846.278725449</v>
      </c>
      <c r="AH115" s="55">
        <f t="shared" si="493"/>
        <v>18005358.227476388</v>
      </c>
      <c r="AI115" s="55">
        <f t="shared" si="493"/>
        <v>17721788.307444368</v>
      </c>
      <c r="AJ115" s="55">
        <f t="shared" si="493"/>
        <v>17425699.635247592</v>
      </c>
      <c r="AK115" s="55">
        <f t="shared" si="493"/>
        <v>17084843.540844344</v>
      </c>
      <c r="AL115" s="55">
        <f t="shared" si="493"/>
        <v>16768802.374892395</v>
      </c>
      <c r="AM115" s="55">
        <f t="shared" si="493"/>
        <v>16437940.071971539</v>
      </c>
      <c r="AN115" s="55">
        <f t="shared" si="493"/>
        <v>16062355.225358678</v>
      </c>
      <c r="AO115" s="55">
        <f t="shared" si="493"/>
        <v>15703954.586715005</v>
      </c>
      <c r="AP115" s="55">
        <f t="shared" si="493"/>
        <v>15335153.480285505</v>
      </c>
      <c r="AQ115" s="55">
        <f t="shared" si="493"/>
        <v>14924412.494655</v>
      </c>
      <c r="AR115" s="55">
        <f t="shared" si="493"/>
        <v>14537446.895635281</v>
      </c>
      <c r="AS115" s="55">
        <f t="shared" si="493"/>
        <v>14147219.327897629</v>
      </c>
      <c r="AT115" s="55">
        <f t="shared" si="493"/>
        <v>13686501.260408461</v>
      </c>
      <c r="AU115" s="55">
        <f t="shared" si="493"/>
        <v>13262673.921555836</v>
      </c>
      <c r="AV115" s="55">
        <f t="shared" si="493"/>
        <v>12825038.098959487</v>
      </c>
      <c r="AW115" s="55">
        <f t="shared" si="493"/>
        <v>12311135.85034108</v>
      </c>
      <c r="AX115" s="55">
        <f t="shared" si="493"/>
        <v>11837811.356391884</v>
      </c>
      <c r="AY115" s="55">
        <f t="shared" si="493"/>
        <v>11355662.760936776</v>
      </c>
      <c r="AZ115" s="55">
        <f t="shared" si="493"/>
        <v>10773637.609670376</v>
      </c>
      <c r="BA115" s="55">
        <f t="shared" si="493"/>
        <v>10254540.646985132</v>
      </c>
      <c r="BB115" s="55">
        <f t="shared" si="493"/>
        <v>9718212.6981683578</v>
      </c>
      <c r="BC115" s="55">
        <f t="shared" si="493"/>
        <v>9083760.8278675321</v>
      </c>
      <c r="BD115" s="55">
        <f t="shared" si="493"/>
        <v>8509185.5850544479</v>
      </c>
      <c r="BE115" s="55">
        <f t="shared" si="493"/>
        <v>7914418.5292636557</v>
      </c>
      <c r="BF115" s="55">
        <f t="shared" si="493"/>
        <v>7182925.8194872346</v>
      </c>
      <c r="BG115" s="55">
        <f t="shared" si="493"/>
        <v>6556361.2472211458</v>
      </c>
      <c r="BH115" s="55">
        <f t="shared" si="493"/>
        <v>5899963.7828731518</v>
      </c>
      <c r="BI115" s="55">
        <f t="shared" si="493"/>
        <v>5064574.5498429984</v>
      </c>
      <c r="BJ115" s="55">
        <f t="shared" si="493"/>
        <v>4352297.3171613719</v>
      </c>
      <c r="BK115" s="55">
        <f t="shared" si="493"/>
        <v>3615946.4930337514</v>
      </c>
      <c r="BL115" s="55">
        <f t="shared" si="493"/>
        <v>2651260.3001999701</v>
      </c>
      <c r="BM115" s="55">
        <f t="shared" si="493"/>
        <v>1838306.9566519507</v>
      </c>
      <c r="BN115" s="55">
        <f t="shared" si="493"/>
        <v>1000000.0000000002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30ED-E905-47C5-B760-BC2839238F5D}">
  <sheetPr>
    <tabColor theme="3" tint="0.79998168889431442"/>
  </sheetPr>
  <dimension ref="A3:BN213"/>
  <sheetViews>
    <sheetView showGridLines="0" topLeftCell="A3" zoomScaleNormal="100" workbookViewId="0">
      <pane xSplit="5" ySplit="5" topLeftCell="F8" activePane="bottomRight" state="frozen"/>
      <selection activeCell="A3" sqref="A3"/>
      <selection pane="topRight" activeCell="F3" sqref="F3"/>
      <selection pane="bottomLeft" activeCell="A8" sqref="A8"/>
      <selection pane="bottomRight" activeCell="F8" sqref="F8"/>
    </sheetView>
  </sheetViews>
  <sheetFormatPr defaultRowHeight="14.4" x14ac:dyDescent="0.3"/>
  <cols>
    <col min="1" max="2" width="3.5546875" customWidth="1"/>
    <col min="3" max="3" width="39.33203125" bestFit="1" customWidth="1"/>
    <col min="4" max="4" width="6.44140625" bestFit="1" customWidth="1"/>
    <col min="5" max="5" width="14.88671875" bestFit="1" customWidth="1"/>
    <col min="6" max="6" width="6.44140625" bestFit="1" customWidth="1"/>
    <col min="7" max="66" width="12.5546875" customWidth="1"/>
  </cols>
  <sheetData>
    <row r="3" spans="1:66" x14ac:dyDescent="0.3"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x14ac:dyDescent="0.3">
      <c r="C4" s="56"/>
      <c r="D4" s="56"/>
      <c r="E4" s="56"/>
      <c r="F4" s="56"/>
      <c r="G4" s="60">
        <f>YEAR(G6)</f>
        <v>2024</v>
      </c>
      <c r="H4" s="60">
        <f t="shared" ref="H4:AD4" si="0">YEAR(H6)</f>
        <v>2024</v>
      </c>
      <c r="I4" s="60">
        <f t="shared" si="0"/>
        <v>2024</v>
      </c>
      <c r="J4" s="60">
        <f t="shared" si="0"/>
        <v>2024</v>
      </c>
      <c r="K4" s="60">
        <f t="shared" si="0"/>
        <v>2024</v>
      </c>
      <c r="L4" s="60">
        <f t="shared" si="0"/>
        <v>2024</v>
      </c>
      <c r="M4" s="60">
        <f t="shared" si="0"/>
        <v>2024</v>
      </c>
      <c r="N4" s="60">
        <f t="shared" si="0"/>
        <v>2024</v>
      </c>
      <c r="O4" s="60">
        <f t="shared" si="0"/>
        <v>2024</v>
      </c>
      <c r="P4" s="60">
        <f t="shared" si="0"/>
        <v>2024</v>
      </c>
      <c r="Q4" s="60">
        <f t="shared" si="0"/>
        <v>2024</v>
      </c>
      <c r="R4" s="60">
        <f t="shared" si="0"/>
        <v>2024</v>
      </c>
      <c r="S4" s="60">
        <f t="shared" si="0"/>
        <v>2025</v>
      </c>
      <c r="T4" s="60">
        <f t="shared" si="0"/>
        <v>2025</v>
      </c>
      <c r="U4" s="60">
        <f t="shared" si="0"/>
        <v>2025</v>
      </c>
      <c r="V4" s="60">
        <f t="shared" si="0"/>
        <v>2025</v>
      </c>
      <c r="W4" s="60">
        <f t="shared" si="0"/>
        <v>2025</v>
      </c>
      <c r="X4" s="60">
        <f t="shared" si="0"/>
        <v>2025</v>
      </c>
      <c r="Y4" s="60">
        <f t="shared" si="0"/>
        <v>2025</v>
      </c>
      <c r="Z4" s="60">
        <f t="shared" si="0"/>
        <v>2025</v>
      </c>
      <c r="AA4" s="60">
        <f t="shared" si="0"/>
        <v>2025</v>
      </c>
      <c r="AB4" s="60">
        <f t="shared" si="0"/>
        <v>2025</v>
      </c>
      <c r="AC4" s="60">
        <f t="shared" si="0"/>
        <v>2025</v>
      </c>
      <c r="AD4" s="60">
        <f t="shared" si="0"/>
        <v>2025</v>
      </c>
      <c r="AE4" s="60">
        <f t="shared" ref="AE4:BN4" si="1">YEAR(AE6)</f>
        <v>2026</v>
      </c>
      <c r="AF4" s="60">
        <f t="shared" si="1"/>
        <v>2026</v>
      </c>
      <c r="AG4" s="60">
        <f t="shared" si="1"/>
        <v>2026</v>
      </c>
      <c r="AH4" s="60">
        <f t="shared" si="1"/>
        <v>2026</v>
      </c>
      <c r="AI4" s="60">
        <f t="shared" si="1"/>
        <v>2026</v>
      </c>
      <c r="AJ4" s="60">
        <f t="shared" si="1"/>
        <v>2026</v>
      </c>
      <c r="AK4" s="60">
        <f t="shared" si="1"/>
        <v>2026</v>
      </c>
      <c r="AL4" s="60">
        <f t="shared" si="1"/>
        <v>2026</v>
      </c>
      <c r="AM4" s="60">
        <f t="shared" si="1"/>
        <v>2026</v>
      </c>
      <c r="AN4" s="60">
        <f t="shared" si="1"/>
        <v>2026</v>
      </c>
      <c r="AO4" s="60">
        <f t="shared" si="1"/>
        <v>2026</v>
      </c>
      <c r="AP4" s="60">
        <f t="shared" si="1"/>
        <v>2026</v>
      </c>
      <c r="AQ4" s="60">
        <f t="shared" si="1"/>
        <v>2027</v>
      </c>
      <c r="AR4" s="60">
        <f t="shared" si="1"/>
        <v>2027</v>
      </c>
      <c r="AS4" s="60">
        <f t="shared" si="1"/>
        <v>2027</v>
      </c>
      <c r="AT4" s="60">
        <f t="shared" si="1"/>
        <v>2027</v>
      </c>
      <c r="AU4" s="60">
        <f t="shared" si="1"/>
        <v>2027</v>
      </c>
      <c r="AV4" s="60">
        <f t="shared" si="1"/>
        <v>2027</v>
      </c>
      <c r="AW4" s="60">
        <f t="shared" si="1"/>
        <v>2027</v>
      </c>
      <c r="AX4" s="60">
        <f t="shared" si="1"/>
        <v>2027</v>
      </c>
      <c r="AY4" s="60">
        <f t="shared" si="1"/>
        <v>2027</v>
      </c>
      <c r="AZ4" s="60">
        <f t="shared" si="1"/>
        <v>2027</v>
      </c>
      <c r="BA4" s="60">
        <f t="shared" si="1"/>
        <v>2027</v>
      </c>
      <c r="BB4" s="60">
        <f t="shared" si="1"/>
        <v>2027</v>
      </c>
      <c r="BC4" s="60">
        <f t="shared" si="1"/>
        <v>2028</v>
      </c>
      <c r="BD4" s="60">
        <f t="shared" si="1"/>
        <v>2028</v>
      </c>
      <c r="BE4" s="60">
        <f t="shared" si="1"/>
        <v>2028</v>
      </c>
      <c r="BF4" s="60">
        <f t="shared" si="1"/>
        <v>2028</v>
      </c>
      <c r="BG4" s="60">
        <f t="shared" si="1"/>
        <v>2028</v>
      </c>
      <c r="BH4" s="60">
        <f t="shared" si="1"/>
        <v>2028</v>
      </c>
      <c r="BI4" s="60">
        <f t="shared" si="1"/>
        <v>2028</v>
      </c>
      <c r="BJ4" s="60">
        <f t="shared" si="1"/>
        <v>2028</v>
      </c>
      <c r="BK4" s="60">
        <f t="shared" si="1"/>
        <v>2028</v>
      </c>
      <c r="BL4" s="60">
        <f t="shared" si="1"/>
        <v>2028</v>
      </c>
      <c r="BM4" s="60">
        <f t="shared" si="1"/>
        <v>2028</v>
      </c>
      <c r="BN4" s="60">
        <f t="shared" si="1"/>
        <v>2028</v>
      </c>
    </row>
    <row r="5" spans="1:66" x14ac:dyDescent="0.3">
      <c r="C5" s="56"/>
      <c r="D5" s="56"/>
      <c r="E5" s="56"/>
      <c r="F5" s="56"/>
      <c r="G5" s="59">
        <f>ROUNDUP(MONTH(G6)/3,0)</f>
        <v>1</v>
      </c>
      <c r="H5" s="59">
        <f t="shared" ref="H5:J5" si="2">ROUNDUP(MONTH(H6)/3,0)</f>
        <v>1</v>
      </c>
      <c r="I5" s="59">
        <f t="shared" si="2"/>
        <v>1</v>
      </c>
      <c r="J5" s="59">
        <f t="shared" si="2"/>
        <v>2</v>
      </c>
      <c r="K5" s="59">
        <f t="shared" ref="K5" si="3">ROUNDUP(MONTH(K6)/3,0)</f>
        <v>2</v>
      </c>
      <c r="L5" s="59">
        <f t="shared" ref="L5" si="4">ROUNDUP(MONTH(L6)/3,0)</f>
        <v>2</v>
      </c>
      <c r="M5" s="59">
        <f t="shared" ref="M5" si="5">ROUNDUP(MONTH(M6)/3,0)</f>
        <v>3</v>
      </c>
      <c r="N5" s="59">
        <f t="shared" ref="N5" si="6">ROUNDUP(MONTH(N6)/3,0)</f>
        <v>3</v>
      </c>
      <c r="O5" s="59">
        <f t="shared" ref="O5" si="7">ROUNDUP(MONTH(O6)/3,0)</f>
        <v>3</v>
      </c>
      <c r="P5" s="59">
        <f t="shared" ref="P5" si="8">ROUNDUP(MONTH(P6)/3,0)</f>
        <v>4</v>
      </c>
      <c r="Q5" s="59">
        <f t="shared" ref="Q5" si="9">ROUNDUP(MONTH(Q6)/3,0)</f>
        <v>4</v>
      </c>
      <c r="R5" s="59">
        <f t="shared" ref="R5" si="10">ROUNDUP(MONTH(R6)/3,0)</f>
        <v>4</v>
      </c>
      <c r="S5" s="59">
        <f t="shared" ref="S5" si="11">ROUNDUP(MONTH(S6)/3,0)</f>
        <v>1</v>
      </c>
      <c r="T5" s="59">
        <f t="shared" ref="T5" si="12">ROUNDUP(MONTH(T6)/3,0)</f>
        <v>1</v>
      </c>
      <c r="U5" s="59">
        <f t="shared" ref="U5" si="13">ROUNDUP(MONTH(U6)/3,0)</f>
        <v>1</v>
      </c>
      <c r="V5" s="59">
        <f t="shared" ref="V5" si="14">ROUNDUP(MONTH(V6)/3,0)</f>
        <v>2</v>
      </c>
      <c r="W5" s="59">
        <f t="shared" ref="W5" si="15">ROUNDUP(MONTH(W6)/3,0)</f>
        <v>2</v>
      </c>
      <c r="X5" s="59">
        <f t="shared" ref="X5" si="16">ROUNDUP(MONTH(X6)/3,0)</f>
        <v>2</v>
      </c>
      <c r="Y5" s="59">
        <f t="shared" ref="Y5" si="17">ROUNDUP(MONTH(Y6)/3,0)</f>
        <v>3</v>
      </c>
      <c r="Z5" s="59">
        <f t="shared" ref="Z5" si="18">ROUNDUP(MONTH(Z6)/3,0)</f>
        <v>3</v>
      </c>
      <c r="AA5" s="59">
        <f t="shared" ref="AA5" si="19">ROUNDUP(MONTH(AA6)/3,0)</f>
        <v>3</v>
      </c>
      <c r="AB5" s="59">
        <f t="shared" ref="AB5" si="20">ROUNDUP(MONTH(AB6)/3,0)</f>
        <v>4</v>
      </c>
      <c r="AC5" s="59">
        <f t="shared" ref="AC5" si="21">ROUNDUP(MONTH(AC6)/3,0)</f>
        <v>4</v>
      </c>
      <c r="AD5" s="59">
        <f t="shared" ref="AD5:BN5" si="22">ROUNDUP(MONTH(AD6)/3,0)</f>
        <v>4</v>
      </c>
      <c r="AE5" s="59">
        <f t="shared" si="22"/>
        <v>1</v>
      </c>
      <c r="AF5" s="59">
        <f t="shared" si="22"/>
        <v>1</v>
      </c>
      <c r="AG5" s="59">
        <f t="shared" si="22"/>
        <v>1</v>
      </c>
      <c r="AH5" s="59">
        <f t="shared" si="22"/>
        <v>2</v>
      </c>
      <c r="AI5" s="59">
        <f t="shared" si="22"/>
        <v>2</v>
      </c>
      <c r="AJ5" s="59">
        <f t="shared" si="22"/>
        <v>2</v>
      </c>
      <c r="AK5" s="59">
        <f t="shared" si="22"/>
        <v>3</v>
      </c>
      <c r="AL5" s="59">
        <f t="shared" si="22"/>
        <v>3</v>
      </c>
      <c r="AM5" s="59">
        <f t="shared" si="22"/>
        <v>3</v>
      </c>
      <c r="AN5" s="59">
        <f t="shared" si="22"/>
        <v>4</v>
      </c>
      <c r="AO5" s="59">
        <f t="shared" si="22"/>
        <v>4</v>
      </c>
      <c r="AP5" s="59">
        <f t="shared" si="22"/>
        <v>4</v>
      </c>
      <c r="AQ5" s="59">
        <f t="shared" si="22"/>
        <v>1</v>
      </c>
      <c r="AR5" s="59">
        <f t="shared" si="22"/>
        <v>1</v>
      </c>
      <c r="AS5" s="59">
        <f t="shared" si="22"/>
        <v>1</v>
      </c>
      <c r="AT5" s="59">
        <f t="shared" si="22"/>
        <v>2</v>
      </c>
      <c r="AU5" s="59">
        <f t="shared" si="22"/>
        <v>2</v>
      </c>
      <c r="AV5" s="59">
        <f t="shared" si="22"/>
        <v>2</v>
      </c>
      <c r="AW5" s="59">
        <f t="shared" si="22"/>
        <v>3</v>
      </c>
      <c r="AX5" s="59">
        <f t="shared" si="22"/>
        <v>3</v>
      </c>
      <c r="AY5" s="59">
        <f t="shared" si="22"/>
        <v>3</v>
      </c>
      <c r="AZ5" s="59">
        <f t="shared" si="22"/>
        <v>4</v>
      </c>
      <c r="BA5" s="59">
        <f t="shared" si="22"/>
        <v>4</v>
      </c>
      <c r="BB5" s="59">
        <f t="shared" si="22"/>
        <v>4</v>
      </c>
      <c r="BC5" s="59">
        <f t="shared" si="22"/>
        <v>1</v>
      </c>
      <c r="BD5" s="59">
        <f t="shared" si="22"/>
        <v>1</v>
      </c>
      <c r="BE5" s="59">
        <f t="shared" si="22"/>
        <v>1</v>
      </c>
      <c r="BF5" s="59">
        <f t="shared" si="22"/>
        <v>2</v>
      </c>
      <c r="BG5" s="59">
        <f t="shared" si="22"/>
        <v>2</v>
      </c>
      <c r="BH5" s="59">
        <f t="shared" si="22"/>
        <v>2</v>
      </c>
      <c r="BI5" s="59">
        <f t="shared" si="22"/>
        <v>3</v>
      </c>
      <c r="BJ5" s="59">
        <f t="shared" si="22"/>
        <v>3</v>
      </c>
      <c r="BK5" s="59">
        <f t="shared" si="22"/>
        <v>3</v>
      </c>
      <c r="BL5" s="59">
        <f t="shared" si="22"/>
        <v>4</v>
      </c>
      <c r="BM5" s="59">
        <f t="shared" si="22"/>
        <v>4</v>
      </c>
      <c r="BN5" s="59">
        <f t="shared" si="22"/>
        <v>4</v>
      </c>
    </row>
    <row r="6" spans="1:66" x14ac:dyDescent="0.3">
      <c r="C6" s="56"/>
      <c r="D6" s="56"/>
      <c r="E6" s="56"/>
      <c r="F6" s="56"/>
      <c r="G6" s="61">
        <v>45292</v>
      </c>
      <c r="H6" s="61">
        <f t="shared" ref="H6:BN6" si="23">EDATE($G6,H$7-1)</f>
        <v>45323</v>
      </c>
      <c r="I6" s="61">
        <f t="shared" si="23"/>
        <v>45352</v>
      </c>
      <c r="J6" s="61">
        <f t="shared" si="23"/>
        <v>45383</v>
      </c>
      <c r="K6" s="61">
        <f t="shared" si="23"/>
        <v>45413</v>
      </c>
      <c r="L6" s="61">
        <f t="shared" si="23"/>
        <v>45444</v>
      </c>
      <c r="M6" s="61">
        <f t="shared" si="23"/>
        <v>45474</v>
      </c>
      <c r="N6" s="61">
        <f t="shared" si="23"/>
        <v>45505</v>
      </c>
      <c r="O6" s="61">
        <f t="shared" si="23"/>
        <v>45536</v>
      </c>
      <c r="P6" s="61">
        <f t="shared" si="23"/>
        <v>45566</v>
      </c>
      <c r="Q6" s="61">
        <f t="shared" si="23"/>
        <v>45597</v>
      </c>
      <c r="R6" s="61">
        <f t="shared" si="23"/>
        <v>45627</v>
      </c>
      <c r="S6" s="61">
        <f t="shared" si="23"/>
        <v>45658</v>
      </c>
      <c r="T6" s="61">
        <f t="shared" si="23"/>
        <v>45689</v>
      </c>
      <c r="U6" s="61">
        <f t="shared" si="23"/>
        <v>45717</v>
      </c>
      <c r="V6" s="61">
        <f t="shared" si="23"/>
        <v>45748</v>
      </c>
      <c r="W6" s="61">
        <f t="shared" si="23"/>
        <v>45778</v>
      </c>
      <c r="X6" s="61">
        <f t="shared" si="23"/>
        <v>45809</v>
      </c>
      <c r="Y6" s="61">
        <f t="shared" si="23"/>
        <v>45839</v>
      </c>
      <c r="Z6" s="61">
        <f t="shared" si="23"/>
        <v>45870</v>
      </c>
      <c r="AA6" s="61">
        <f t="shared" si="23"/>
        <v>45901</v>
      </c>
      <c r="AB6" s="61">
        <f t="shared" si="23"/>
        <v>45931</v>
      </c>
      <c r="AC6" s="61">
        <f t="shared" si="23"/>
        <v>45962</v>
      </c>
      <c r="AD6" s="61">
        <f t="shared" si="23"/>
        <v>45992</v>
      </c>
      <c r="AE6" s="61">
        <f t="shared" si="23"/>
        <v>46023</v>
      </c>
      <c r="AF6" s="61">
        <f t="shared" si="23"/>
        <v>46054</v>
      </c>
      <c r="AG6" s="61">
        <f t="shared" si="23"/>
        <v>46082</v>
      </c>
      <c r="AH6" s="61">
        <f t="shared" si="23"/>
        <v>46113</v>
      </c>
      <c r="AI6" s="61">
        <f t="shared" si="23"/>
        <v>46143</v>
      </c>
      <c r="AJ6" s="61">
        <f t="shared" si="23"/>
        <v>46174</v>
      </c>
      <c r="AK6" s="61">
        <f t="shared" si="23"/>
        <v>46204</v>
      </c>
      <c r="AL6" s="61">
        <f t="shared" si="23"/>
        <v>46235</v>
      </c>
      <c r="AM6" s="61">
        <f t="shared" si="23"/>
        <v>46266</v>
      </c>
      <c r="AN6" s="61">
        <f t="shared" si="23"/>
        <v>46296</v>
      </c>
      <c r="AO6" s="61">
        <f t="shared" si="23"/>
        <v>46327</v>
      </c>
      <c r="AP6" s="61">
        <f t="shared" si="23"/>
        <v>46357</v>
      </c>
      <c r="AQ6" s="61">
        <f t="shared" si="23"/>
        <v>46388</v>
      </c>
      <c r="AR6" s="61">
        <f t="shared" si="23"/>
        <v>46419</v>
      </c>
      <c r="AS6" s="61">
        <f t="shared" si="23"/>
        <v>46447</v>
      </c>
      <c r="AT6" s="61">
        <f t="shared" si="23"/>
        <v>46478</v>
      </c>
      <c r="AU6" s="61">
        <f t="shared" si="23"/>
        <v>46508</v>
      </c>
      <c r="AV6" s="61">
        <f t="shared" si="23"/>
        <v>46539</v>
      </c>
      <c r="AW6" s="61">
        <f t="shared" si="23"/>
        <v>46569</v>
      </c>
      <c r="AX6" s="61">
        <f t="shared" si="23"/>
        <v>46600</v>
      </c>
      <c r="AY6" s="61">
        <f t="shared" si="23"/>
        <v>46631</v>
      </c>
      <c r="AZ6" s="61">
        <f t="shared" si="23"/>
        <v>46661</v>
      </c>
      <c r="BA6" s="61">
        <f t="shared" si="23"/>
        <v>46692</v>
      </c>
      <c r="BB6" s="61">
        <f t="shared" si="23"/>
        <v>46722</v>
      </c>
      <c r="BC6" s="61">
        <f t="shared" si="23"/>
        <v>46753</v>
      </c>
      <c r="BD6" s="61">
        <f t="shared" si="23"/>
        <v>46784</v>
      </c>
      <c r="BE6" s="61">
        <f t="shared" si="23"/>
        <v>46813</v>
      </c>
      <c r="BF6" s="61">
        <f t="shared" si="23"/>
        <v>46844</v>
      </c>
      <c r="BG6" s="61">
        <f t="shared" si="23"/>
        <v>46874</v>
      </c>
      <c r="BH6" s="61">
        <f t="shared" si="23"/>
        <v>46905</v>
      </c>
      <c r="BI6" s="61">
        <f t="shared" si="23"/>
        <v>46935</v>
      </c>
      <c r="BJ6" s="61">
        <f t="shared" si="23"/>
        <v>46966</v>
      </c>
      <c r="BK6" s="61">
        <f t="shared" si="23"/>
        <v>46997</v>
      </c>
      <c r="BL6" s="61">
        <f t="shared" si="23"/>
        <v>47027</v>
      </c>
      <c r="BM6" s="61">
        <f t="shared" si="23"/>
        <v>47058</v>
      </c>
      <c r="BN6" s="61">
        <f t="shared" si="23"/>
        <v>47088</v>
      </c>
    </row>
    <row r="7" spans="1:66" x14ac:dyDescent="0.3">
      <c r="C7" s="57"/>
      <c r="D7" s="57"/>
      <c r="E7" s="162" t="s">
        <v>15</v>
      </c>
      <c r="F7" s="57"/>
      <c r="G7" s="58">
        <v>1</v>
      </c>
      <c r="H7" s="58">
        <f>G7+1</f>
        <v>2</v>
      </c>
      <c r="I7" s="58">
        <f t="shared" ref="I7:AD7" si="24">H7+1</f>
        <v>3</v>
      </c>
      <c r="J7" s="58">
        <f t="shared" si="24"/>
        <v>4</v>
      </c>
      <c r="K7" s="58">
        <f t="shared" si="24"/>
        <v>5</v>
      </c>
      <c r="L7" s="58">
        <f t="shared" si="24"/>
        <v>6</v>
      </c>
      <c r="M7" s="58">
        <f t="shared" si="24"/>
        <v>7</v>
      </c>
      <c r="N7" s="58">
        <f t="shared" si="24"/>
        <v>8</v>
      </c>
      <c r="O7" s="58">
        <f t="shared" si="24"/>
        <v>9</v>
      </c>
      <c r="P7" s="58">
        <f t="shared" si="24"/>
        <v>10</v>
      </c>
      <c r="Q7" s="58">
        <f t="shared" si="24"/>
        <v>11</v>
      </c>
      <c r="R7" s="58">
        <f t="shared" si="24"/>
        <v>12</v>
      </c>
      <c r="S7" s="58">
        <f t="shared" si="24"/>
        <v>13</v>
      </c>
      <c r="T7" s="58">
        <f t="shared" si="24"/>
        <v>14</v>
      </c>
      <c r="U7" s="58">
        <f t="shared" si="24"/>
        <v>15</v>
      </c>
      <c r="V7" s="58">
        <f t="shared" si="24"/>
        <v>16</v>
      </c>
      <c r="W7" s="58">
        <f t="shared" si="24"/>
        <v>17</v>
      </c>
      <c r="X7" s="58">
        <f t="shared" si="24"/>
        <v>18</v>
      </c>
      <c r="Y7" s="58">
        <f t="shared" si="24"/>
        <v>19</v>
      </c>
      <c r="Z7" s="58">
        <f t="shared" si="24"/>
        <v>20</v>
      </c>
      <c r="AA7" s="58">
        <f t="shared" si="24"/>
        <v>21</v>
      </c>
      <c r="AB7" s="58">
        <f t="shared" si="24"/>
        <v>22</v>
      </c>
      <c r="AC7" s="58">
        <f t="shared" si="24"/>
        <v>23</v>
      </c>
      <c r="AD7" s="58">
        <f t="shared" si="24"/>
        <v>24</v>
      </c>
      <c r="AE7" s="58">
        <f t="shared" ref="AE7" si="25">AD7+1</f>
        <v>25</v>
      </c>
      <c r="AF7" s="58">
        <f t="shared" ref="AF7" si="26">AE7+1</f>
        <v>26</v>
      </c>
      <c r="AG7" s="58">
        <f t="shared" ref="AG7" si="27">AF7+1</f>
        <v>27</v>
      </c>
      <c r="AH7" s="58">
        <f t="shared" ref="AH7" si="28">AG7+1</f>
        <v>28</v>
      </c>
      <c r="AI7" s="58">
        <f t="shared" ref="AI7" si="29">AH7+1</f>
        <v>29</v>
      </c>
      <c r="AJ7" s="58">
        <f t="shared" ref="AJ7" si="30">AI7+1</f>
        <v>30</v>
      </c>
      <c r="AK7" s="58">
        <f t="shared" ref="AK7" si="31">AJ7+1</f>
        <v>31</v>
      </c>
      <c r="AL7" s="58">
        <f t="shared" ref="AL7" si="32">AK7+1</f>
        <v>32</v>
      </c>
      <c r="AM7" s="58">
        <f t="shared" ref="AM7" si="33">AL7+1</f>
        <v>33</v>
      </c>
      <c r="AN7" s="58">
        <f t="shared" ref="AN7" si="34">AM7+1</f>
        <v>34</v>
      </c>
      <c r="AO7" s="58">
        <f t="shared" ref="AO7" si="35">AN7+1</f>
        <v>35</v>
      </c>
      <c r="AP7" s="58">
        <f t="shared" ref="AP7" si="36">AO7+1</f>
        <v>36</v>
      </c>
      <c r="AQ7" s="58">
        <f t="shared" ref="AQ7" si="37">AP7+1</f>
        <v>37</v>
      </c>
      <c r="AR7" s="58">
        <f t="shared" ref="AR7" si="38">AQ7+1</f>
        <v>38</v>
      </c>
      <c r="AS7" s="58">
        <f t="shared" ref="AS7" si="39">AR7+1</f>
        <v>39</v>
      </c>
      <c r="AT7" s="58">
        <f t="shared" ref="AT7" si="40">AS7+1</f>
        <v>40</v>
      </c>
      <c r="AU7" s="58">
        <f t="shared" ref="AU7" si="41">AT7+1</f>
        <v>41</v>
      </c>
      <c r="AV7" s="58">
        <f t="shared" ref="AV7" si="42">AU7+1</f>
        <v>42</v>
      </c>
      <c r="AW7" s="58">
        <f t="shared" ref="AW7" si="43">AV7+1</f>
        <v>43</v>
      </c>
      <c r="AX7" s="58">
        <f t="shared" ref="AX7" si="44">AW7+1</f>
        <v>44</v>
      </c>
      <c r="AY7" s="58">
        <f t="shared" ref="AY7" si="45">AX7+1</f>
        <v>45</v>
      </c>
      <c r="AZ7" s="58">
        <f t="shared" ref="AZ7" si="46">AY7+1</f>
        <v>46</v>
      </c>
      <c r="BA7" s="58">
        <f t="shared" ref="BA7" si="47">AZ7+1</f>
        <v>47</v>
      </c>
      <c r="BB7" s="58">
        <f t="shared" ref="BB7" si="48">BA7+1</f>
        <v>48</v>
      </c>
      <c r="BC7" s="58">
        <f t="shared" ref="BC7" si="49">BB7+1</f>
        <v>49</v>
      </c>
      <c r="BD7" s="58">
        <f t="shared" ref="BD7" si="50">BC7+1</f>
        <v>50</v>
      </c>
      <c r="BE7" s="58">
        <f t="shared" ref="BE7" si="51">BD7+1</f>
        <v>51</v>
      </c>
      <c r="BF7" s="58">
        <f t="shared" ref="BF7" si="52">BE7+1</f>
        <v>52</v>
      </c>
      <c r="BG7" s="58">
        <f t="shared" ref="BG7" si="53">BF7+1</f>
        <v>53</v>
      </c>
      <c r="BH7" s="58">
        <f t="shared" ref="BH7" si="54">BG7+1</f>
        <v>54</v>
      </c>
      <c r="BI7" s="58">
        <f t="shared" ref="BI7" si="55">BH7+1</f>
        <v>55</v>
      </c>
      <c r="BJ7" s="58">
        <f t="shared" ref="BJ7" si="56">BI7+1</f>
        <v>56</v>
      </c>
      <c r="BK7" s="58">
        <f t="shared" ref="BK7" si="57">BJ7+1</f>
        <v>57</v>
      </c>
      <c r="BL7" s="58">
        <f t="shared" ref="BL7" si="58">BK7+1</f>
        <v>58</v>
      </c>
      <c r="BM7" s="58">
        <f t="shared" ref="BM7" si="59">BL7+1</f>
        <v>59</v>
      </c>
      <c r="BN7" s="58">
        <f t="shared" ref="BN7" si="60">BM7+1</f>
        <v>60</v>
      </c>
    </row>
    <row r="8" spans="1:66" ht="14.4" customHeight="1" x14ac:dyDescent="0.3"/>
    <row r="9" spans="1:66" ht="14.4" customHeight="1" x14ac:dyDescent="0.3">
      <c r="A9" s="22" t="s">
        <v>0</v>
      </c>
      <c r="B9" s="22" t="s">
        <v>0</v>
      </c>
      <c r="C9" s="53" t="s">
        <v>60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</row>
    <row r="10" spans="1:66" ht="14.4" customHeight="1" x14ac:dyDescent="0.3"/>
    <row r="11" spans="1:66" ht="14.4" customHeight="1" x14ac:dyDescent="0.3">
      <c r="C11" t="s">
        <v>61</v>
      </c>
      <c r="G11" s="62">
        <f>'Subscribers &amp; Revenue'!G42</f>
        <v>145</v>
      </c>
      <c r="H11" s="62">
        <f>'Subscribers &amp; Revenue'!H42</f>
        <v>289</v>
      </c>
      <c r="I11" s="62">
        <f>'Subscribers &amp; Revenue'!I42</f>
        <v>435</v>
      </c>
      <c r="J11" s="62">
        <f>'Subscribers &amp; Revenue'!J42</f>
        <v>583</v>
      </c>
      <c r="K11" s="62">
        <f>'Subscribers &amp; Revenue'!K42</f>
        <v>736</v>
      </c>
      <c r="L11" s="62">
        <f>'Subscribers &amp; Revenue'!L42</f>
        <v>895</v>
      </c>
      <c r="M11" s="62">
        <f>'Subscribers &amp; Revenue'!M42</f>
        <v>1062</v>
      </c>
      <c r="N11" s="62">
        <f>'Subscribers &amp; Revenue'!N42</f>
        <v>1238</v>
      </c>
      <c r="O11" s="62">
        <f>'Subscribers &amp; Revenue'!O42</f>
        <v>1425</v>
      </c>
      <c r="P11" s="62">
        <f>'Subscribers &amp; Revenue'!P42</f>
        <v>1624</v>
      </c>
      <c r="Q11" s="62">
        <f>'Subscribers &amp; Revenue'!Q42</f>
        <v>1836</v>
      </c>
      <c r="R11" s="62">
        <f>'Subscribers &amp; Revenue'!R42</f>
        <v>2063</v>
      </c>
      <c r="S11" s="62">
        <f>'Subscribers &amp; Revenue'!S42</f>
        <v>2289</v>
      </c>
      <c r="T11" s="62">
        <f>'Subscribers &amp; Revenue'!T42</f>
        <v>2532</v>
      </c>
      <c r="U11" s="62">
        <f>'Subscribers &amp; Revenue'!U42</f>
        <v>2794</v>
      </c>
      <c r="V11" s="62">
        <f>'Subscribers &amp; Revenue'!V42</f>
        <v>3078</v>
      </c>
      <c r="W11" s="62">
        <f>'Subscribers &amp; Revenue'!W42</f>
        <v>3385</v>
      </c>
      <c r="X11" s="62">
        <f>'Subscribers &amp; Revenue'!X42</f>
        <v>3717</v>
      </c>
      <c r="Y11" s="62">
        <f>'Subscribers &amp; Revenue'!Y42</f>
        <v>4077</v>
      </c>
      <c r="Z11" s="62">
        <f>'Subscribers &amp; Revenue'!Z42</f>
        <v>4468</v>
      </c>
      <c r="AA11" s="62">
        <f>'Subscribers &amp; Revenue'!AA42</f>
        <v>4892</v>
      </c>
      <c r="AB11" s="62">
        <f>'Subscribers &amp; Revenue'!AB42</f>
        <v>5354</v>
      </c>
      <c r="AC11" s="62">
        <f>'Subscribers &amp; Revenue'!AC42</f>
        <v>5856</v>
      </c>
      <c r="AD11" s="62">
        <f>'Subscribers &amp; Revenue'!AD42</f>
        <v>6400</v>
      </c>
      <c r="AE11" s="62">
        <f>'Subscribers &amp; Revenue'!AE42</f>
        <v>6993</v>
      </c>
      <c r="AF11" s="62">
        <f>'Subscribers &amp; Revenue'!AF42</f>
        <v>7637</v>
      </c>
      <c r="AG11" s="62">
        <f>'Subscribers &amp; Revenue'!AG42</f>
        <v>8338</v>
      </c>
      <c r="AH11" s="62">
        <f>'Subscribers &amp; Revenue'!AH42</f>
        <v>9102</v>
      </c>
      <c r="AI11" s="62">
        <f>'Subscribers &amp; Revenue'!AI42</f>
        <v>9932</v>
      </c>
      <c r="AJ11" s="62">
        <f>'Subscribers &amp; Revenue'!AJ42</f>
        <v>10836</v>
      </c>
      <c r="AK11" s="62">
        <f>'Subscribers &amp; Revenue'!AK42</f>
        <v>11820</v>
      </c>
      <c r="AL11" s="62">
        <f>'Subscribers &amp; Revenue'!AL42</f>
        <v>12891</v>
      </c>
      <c r="AM11" s="62">
        <f>'Subscribers &amp; Revenue'!AM42</f>
        <v>14057</v>
      </c>
      <c r="AN11" s="62">
        <f>'Subscribers &amp; Revenue'!AN42</f>
        <v>15327</v>
      </c>
      <c r="AO11" s="62">
        <f>'Subscribers &amp; Revenue'!AO42</f>
        <v>16712</v>
      </c>
      <c r="AP11" s="62">
        <f>'Subscribers &amp; Revenue'!AP42</f>
        <v>18221</v>
      </c>
      <c r="AQ11" s="62">
        <f>'Subscribers &amp; Revenue'!AQ42</f>
        <v>19865</v>
      </c>
      <c r="AR11" s="62">
        <f>'Subscribers &amp; Revenue'!AR42</f>
        <v>21658</v>
      </c>
      <c r="AS11" s="62">
        <f>'Subscribers &amp; Revenue'!AS42</f>
        <v>23614</v>
      </c>
      <c r="AT11" s="62">
        <f>'Subscribers &amp; Revenue'!AT42</f>
        <v>25746</v>
      </c>
      <c r="AU11" s="62">
        <f>'Subscribers &amp; Revenue'!AU42</f>
        <v>28073</v>
      </c>
      <c r="AV11" s="62">
        <f>'Subscribers &amp; Revenue'!AV42</f>
        <v>30612</v>
      </c>
      <c r="AW11" s="62">
        <f>'Subscribers &amp; Revenue'!AW42</f>
        <v>33383</v>
      </c>
      <c r="AX11" s="62">
        <f>'Subscribers &amp; Revenue'!AX42</f>
        <v>36408</v>
      </c>
      <c r="AY11" s="62">
        <f>'Subscribers &amp; Revenue'!AY42</f>
        <v>39710</v>
      </c>
      <c r="AZ11" s="62">
        <f>'Subscribers &amp; Revenue'!AZ42</f>
        <v>43314</v>
      </c>
      <c r="BA11" s="62">
        <f>'Subscribers &amp; Revenue'!BA42</f>
        <v>47250</v>
      </c>
      <c r="BB11" s="62">
        <f>'Subscribers &amp; Revenue'!BB42</f>
        <v>51549</v>
      </c>
      <c r="BC11" s="62">
        <f>'Subscribers &amp; Revenue'!BC42</f>
        <v>56244</v>
      </c>
      <c r="BD11" s="62">
        <f>'Subscribers &amp; Revenue'!BD42</f>
        <v>61374</v>
      </c>
      <c r="BE11" s="62">
        <f>'Subscribers &amp; Revenue'!BE42</f>
        <v>66977</v>
      </c>
      <c r="BF11" s="62">
        <f>'Subscribers &amp; Revenue'!BF42</f>
        <v>73100</v>
      </c>
      <c r="BG11" s="62">
        <f>'Subscribers &amp; Revenue'!BG42</f>
        <v>79792</v>
      </c>
      <c r="BH11" s="62">
        <f>'Subscribers &amp; Revenue'!BH42</f>
        <v>87107</v>
      </c>
      <c r="BI11" s="62">
        <f>'Subscribers &amp; Revenue'!BI42</f>
        <v>95102</v>
      </c>
      <c r="BJ11" s="62">
        <f>'Subscribers &amp; Revenue'!BJ42</f>
        <v>103844</v>
      </c>
      <c r="BK11" s="62">
        <f>'Subscribers &amp; Revenue'!BK42</f>
        <v>113402</v>
      </c>
      <c r="BL11" s="62">
        <f>'Subscribers &amp; Revenue'!BL42</f>
        <v>123853</v>
      </c>
      <c r="BM11" s="62">
        <f>'Subscribers &amp; Revenue'!BM42</f>
        <v>135283</v>
      </c>
      <c r="BN11" s="62">
        <f>'Subscribers &amp; Revenue'!BN42</f>
        <v>147786</v>
      </c>
    </row>
    <row r="12" spans="1:66" ht="14.4" customHeight="1" x14ac:dyDescent="0.3">
      <c r="C12" s="25" t="s">
        <v>19</v>
      </c>
      <c r="G12" s="62"/>
      <c r="H12" s="52">
        <f>H11/G11-1</f>
        <v>0.99310344827586206</v>
      </c>
      <c r="I12" s="52">
        <f t="shared" ref="I12:AD12" si="61">I11/H11-1</f>
        <v>0.50519031141868509</v>
      </c>
      <c r="J12" s="52">
        <f t="shared" si="61"/>
        <v>0.3402298850574712</v>
      </c>
      <c r="K12" s="52">
        <f t="shared" si="61"/>
        <v>0.26243567753001718</v>
      </c>
      <c r="L12" s="52">
        <f t="shared" si="61"/>
        <v>0.21603260869565211</v>
      </c>
      <c r="M12" s="52">
        <f t="shared" si="61"/>
        <v>0.18659217877094969</v>
      </c>
      <c r="N12" s="52">
        <f t="shared" si="61"/>
        <v>0.16572504708097924</v>
      </c>
      <c r="O12" s="52">
        <f t="shared" si="61"/>
        <v>0.15105008077544424</v>
      </c>
      <c r="P12" s="52">
        <f t="shared" si="61"/>
        <v>0.13964912280701758</v>
      </c>
      <c r="Q12" s="52">
        <f t="shared" si="61"/>
        <v>0.13054187192118216</v>
      </c>
      <c r="R12" s="52">
        <f t="shared" si="61"/>
        <v>0.1236383442265796</v>
      </c>
      <c r="S12" s="52">
        <f t="shared" si="61"/>
        <v>0.10954920019389247</v>
      </c>
      <c r="T12" s="52">
        <f t="shared" si="61"/>
        <v>0.10615989515072077</v>
      </c>
      <c r="U12" s="52">
        <f t="shared" si="61"/>
        <v>0.10347551342812</v>
      </c>
      <c r="V12" s="52">
        <f t="shared" si="61"/>
        <v>0.10164638511095214</v>
      </c>
      <c r="W12" s="52">
        <f t="shared" si="61"/>
        <v>9.9740090968161166E-2</v>
      </c>
      <c r="X12" s="52">
        <f t="shared" si="61"/>
        <v>9.8079763663220021E-2</v>
      </c>
      <c r="Y12" s="52">
        <f t="shared" si="61"/>
        <v>9.6852300242130651E-2</v>
      </c>
      <c r="Z12" s="52">
        <f t="shared" si="61"/>
        <v>9.5903850870738383E-2</v>
      </c>
      <c r="AA12" s="52">
        <f t="shared" si="61"/>
        <v>9.4897045658012491E-2</v>
      </c>
      <c r="AB12" s="52">
        <f t="shared" si="61"/>
        <v>9.4439901880621457E-2</v>
      </c>
      <c r="AC12" s="52">
        <f t="shared" si="61"/>
        <v>9.3761673515128985E-2</v>
      </c>
      <c r="AD12" s="52">
        <f t="shared" si="61"/>
        <v>9.2896174863388081E-2</v>
      </c>
      <c r="AE12" s="52">
        <f t="shared" ref="AE12" si="62">AE11/AD11-1</f>
        <v>9.2656250000000107E-2</v>
      </c>
      <c r="AF12" s="52">
        <f t="shared" ref="AF12" si="63">AF11/AE11-1</f>
        <v>9.2092092092092015E-2</v>
      </c>
      <c r="AG12" s="52">
        <f t="shared" ref="AG12" si="64">AG11/AF11-1</f>
        <v>9.1789969883462108E-2</v>
      </c>
      <c r="AH12" s="52">
        <f t="shared" ref="AH12" si="65">AH11/AG11-1</f>
        <v>9.1628687934756536E-2</v>
      </c>
      <c r="AI12" s="52">
        <f t="shared" ref="AI12" si="66">AI11/AH11-1</f>
        <v>9.1188749725335194E-2</v>
      </c>
      <c r="AJ12" s="52">
        <f t="shared" ref="AJ12" si="67">AJ11/AI11-1</f>
        <v>9.1018928715263847E-2</v>
      </c>
      <c r="AK12" s="52">
        <f t="shared" ref="AK12" si="68">AK11/AJ11-1</f>
        <v>9.0808416389811741E-2</v>
      </c>
      <c r="AL12" s="52">
        <f t="shared" ref="AL12" si="69">AL11/AK11-1</f>
        <v>9.0609137055837508E-2</v>
      </c>
      <c r="AM12" s="52">
        <f t="shared" ref="AM12" si="70">AM11/AL11-1</f>
        <v>9.0450702040183018E-2</v>
      </c>
      <c r="AN12" s="52">
        <f t="shared" ref="AN12" si="71">AN11/AM11-1</f>
        <v>9.0346446610229725E-2</v>
      </c>
      <c r="AO12" s="52">
        <f t="shared" ref="AO12" si="72">AO11/AN11-1</f>
        <v>9.0363410974098057E-2</v>
      </c>
      <c r="AP12" s="52">
        <f t="shared" ref="AP12" si="73">AP11/AO11-1</f>
        <v>9.0294399234083222E-2</v>
      </c>
      <c r="AQ12" s="52">
        <f t="shared" ref="AQ12" si="74">AQ11/AP11-1</f>
        <v>9.0225563909774431E-2</v>
      </c>
      <c r="AR12" s="52">
        <f t="shared" ref="AR12" si="75">AR11/AQ11-1</f>
        <v>9.0259249937075348E-2</v>
      </c>
      <c r="AS12" s="52">
        <f t="shared" ref="AS12" si="76">AS11/AR11-1</f>
        <v>9.0313048296241538E-2</v>
      </c>
      <c r="AT12" s="52">
        <f t="shared" ref="AT12" si="77">AT11/AS11-1</f>
        <v>9.0285423901075523E-2</v>
      </c>
      <c r="AU12" s="52">
        <f t="shared" ref="AU12" si="78">AU11/AT11-1</f>
        <v>9.0382972112172721E-2</v>
      </c>
      <c r="AV12" s="52">
        <f t="shared" ref="AV12" si="79">AV11/AU11-1</f>
        <v>9.0442774195846454E-2</v>
      </c>
      <c r="AW12" s="52">
        <f t="shared" ref="AW12" si="80">AW11/AV11-1</f>
        <v>9.0520057493793216E-2</v>
      </c>
      <c r="AX12" s="52">
        <f t="shared" ref="AX12" si="81">AX11/AW11-1</f>
        <v>9.06149836743253E-2</v>
      </c>
      <c r="AY12" s="52">
        <f t="shared" ref="AY12" si="82">AY11/AX11-1</f>
        <v>9.0694352889474805E-2</v>
      </c>
      <c r="AZ12" s="52">
        <f t="shared" ref="AZ12" si="83">AZ11/AY11-1</f>
        <v>9.0757995467136698E-2</v>
      </c>
      <c r="BA12" s="52">
        <f t="shared" ref="BA12" si="84">BA11/AZ11-1</f>
        <v>9.0871311816040912E-2</v>
      </c>
      <c r="BB12" s="52">
        <f t="shared" ref="BB12" si="85">BB11/BA11-1</f>
        <v>9.0984126984126945E-2</v>
      </c>
      <c r="BC12" s="52">
        <f t="shared" ref="BC12" si="86">BC11/BB11-1</f>
        <v>9.1078391433393469E-2</v>
      </c>
      <c r="BD12" s="52">
        <f t="shared" ref="BD12" si="87">BD11/BC11-1</f>
        <v>9.1209729037764031E-2</v>
      </c>
      <c r="BE12" s="52">
        <f t="shared" ref="BE12" si="88">BE11/BD11-1</f>
        <v>9.1292729820445118E-2</v>
      </c>
      <c r="BF12" s="52">
        <f t="shared" ref="BF12" si="89">BF11/BE11-1</f>
        <v>9.1419442495184855E-2</v>
      </c>
      <c r="BG12" s="52">
        <f t="shared" ref="BG12" si="90">BG11/BF11-1</f>
        <v>9.1545827633378929E-2</v>
      </c>
      <c r="BH12" s="52">
        <f t="shared" ref="BH12" si="91">BH11/BG11-1</f>
        <v>9.1675857228794788E-2</v>
      </c>
      <c r="BI12" s="52">
        <f t="shared" ref="BI12" si="92">BI11/BH11-1</f>
        <v>9.1783668361899773E-2</v>
      </c>
      <c r="BJ12" s="52">
        <f t="shared" ref="BJ12" si="93">BJ11/BI11-1</f>
        <v>9.1922357048221937E-2</v>
      </c>
      <c r="BK12" s="52">
        <f t="shared" ref="BK12" si="94">BK11/BJ11-1</f>
        <v>9.2041909017372303E-2</v>
      </c>
      <c r="BL12" s="52">
        <f t="shared" ref="BL12" si="95">BL11/BK11-1</f>
        <v>9.2158868450291864E-2</v>
      </c>
      <c r="BM12" s="52">
        <f t="shared" ref="BM12" si="96">BM11/BL11-1</f>
        <v>9.2286823896070347E-2</v>
      </c>
      <c r="BN12" s="52">
        <f t="shared" ref="BN12" si="97">BN11/BM11-1</f>
        <v>9.2421072862074238E-2</v>
      </c>
    </row>
    <row r="13" spans="1:66" ht="3" customHeight="1" x14ac:dyDescent="0.3">
      <c r="H13" s="28"/>
    </row>
    <row r="14" spans="1:66" ht="3" customHeight="1" x14ac:dyDescent="0.3">
      <c r="H14" s="28"/>
    </row>
    <row r="15" spans="1:66" ht="3" customHeight="1" x14ac:dyDescent="0.3">
      <c r="H15" s="28"/>
    </row>
    <row r="16" spans="1:66" ht="3" customHeight="1" x14ac:dyDescent="0.3">
      <c r="H16" s="28"/>
    </row>
    <row r="17" spans="1:66" ht="3" customHeight="1" x14ac:dyDescent="0.3">
      <c r="H17" s="28"/>
    </row>
    <row r="18" spans="1:66" ht="14.7" customHeight="1" x14ac:dyDescent="0.3">
      <c r="C18" t="s">
        <v>22</v>
      </c>
      <c r="G18" s="62">
        <f>'Subscribers &amp; Revenue'!G34</f>
        <v>90</v>
      </c>
      <c r="H18" s="62">
        <f>'Subscribers &amp; Revenue'!H34</f>
        <v>99</v>
      </c>
      <c r="I18" s="62">
        <f>'Subscribers &amp; Revenue'!I34</f>
        <v>109</v>
      </c>
      <c r="J18" s="62">
        <f>'Subscribers &amp; Revenue'!J34</f>
        <v>120</v>
      </c>
      <c r="K18" s="62">
        <f>'Subscribers &amp; Revenue'!K34</f>
        <v>132</v>
      </c>
      <c r="L18" s="62">
        <f>'Subscribers &amp; Revenue'!L34</f>
        <v>145</v>
      </c>
      <c r="M18" s="62">
        <f>'Subscribers &amp; Revenue'!M34</f>
        <v>160</v>
      </c>
      <c r="N18" s="62">
        <f>'Subscribers &amp; Revenue'!N34</f>
        <v>176</v>
      </c>
      <c r="O18" s="62">
        <f>'Subscribers &amp; Revenue'!O34</f>
        <v>194</v>
      </c>
      <c r="P18" s="62">
        <f>'Subscribers &amp; Revenue'!P34</f>
        <v>213</v>
      </c>
      <c r="Q18" s="62">
        <f>'Subscribers &amp; Revenue'!Q34</f>
        <v>234</v>
      </c>
      <c r="R18" s="62">
        <f>'Subscribers &amp; Revenue'!R34</f>
        <v>257</v>
      </c>
      <c r="S18" s="62">
        <f>'Subscribers &amp; Revenue'!S34</f>
        <v>283</v>
      </c>
      <c r="T18" s="62">
        <f>'Subscribers &amp; Revenue'!T34</f>
        <v>311</v>
      </c>
      <c r="U18" s="62">
        <f>'Subscribers &amp; Revenue'!U34</f>
        <v>342</v>
      </c>
      <c r="V18" s="62">
        <f>'Subscribers &amp; Revenue'!V34</f>
        <v>376</v>
      </c>
      <c r="W18" s="62">
        <f>'Subscribers &amp; Revenue'!W34</f>
        <v>414</v>
      </c>
      <c r="X18" s="62">
        <f>'Subscribers &amp; Revenue'!X34</f>
        <v>455</v>
      </c>
      <c r="Y18" s="62">
        <f>'Subscribers &amp; Revenue'!Y34</f>
        <v>501</v>
      </c>
      <c r="Z18" s="62">
        <f>'Subscribers &amp; Revenue'!Z34</f>
        <v>551</v>
      </c>
      <c r="AA18" s="62">
        <f>'Subscribers &amp; Revenue'!AA34</f>
        <v>606</v>
      </c>
      <c r="AB18" s="62">
        <f>'Subscribers &amp; Revenue'!AB34</f>
        <v>667</v>
      </c>
      <c r="AC18" s="62">
        <f>'Subscribers &amp; Revenue'!AC34</f>
        <v>734</v>
      </c>
      <c r="AD18" s="62">
        <f>'Subscribers &amp; Revenue'!AD34</f>
        <v>807</v>
      </c>
      <c r="AE18" s="62">
        <f>'Subscribers &amp; Revenue'!AE34</f>
        <v>888</v>
      </c>
      <c r="AF18" s="62">
        <f>'Subscribers &amp; Revenue'!AF34</f>
        <v>977</v>
      </c>
      <c r="AG18" s="62">
        <f>'Subscribers &amp; Revenue'!AG34</f>
        <v>1075</v>
      </c>
      <c r="AH18" s="62">
        <f>'Subscribers &amp; Revenue'!AH34</f>
        <v>1183</v>
      </c>
      <c r="AI18" s="62">
        <f>'Subscribers &amp; Revenue'!AI34</f>
        <v>1301</v>
      </c>
      <c r="AJ18" s="62">
        <f>'Subscribers &amp; Revenue'!AJ34</f>
        <v>1431</v>
      </c>
      <c r="AK18" s="62">
        <f>'Subscribers &amp; Revenue'!AK34</f>
        <v>1574</v>
      </c>
      <c r="AL18" s="62">
        <f>'Subscribers &amp; Revenue'!AL34</f>
        <v>1731</v>
      </c>
      <c r="AM18" s="62">
        <f>'Subscribers &amp; Revenue'!AM34</f>
        <v>1904</v>
      </c>
      <c r="AN18" s="62">
        <f>'Subscribers &amp; Revenue'!AN34</f>
        <v>2094</v>
      </c>
      <c r="AO18" s="62">
        <f>'Subscribers &amp; Revenue'!AO34</f>
        <v>2303</v>
      </c>
      <c r="AP18" s="62">
        <f>'Subscribers &amp; Revenue'!AP34</f>
        <v>2533</v>
      </c>
      <c r="AQ18" s="62">
        <f>'Subscribers &amp; Revenue'!AQ34</f>
        <v>2786</v>
      </c>
      <c r="AR18" s="62">
        <f>'Subscribers &amp; Revenue'!AR34</f>
        <v>3065</v>
      </c>
      <c r="AS18" s="62">
        <f>'Subscribers &amp; Revenue'!AS34</f>
        <v>3372</v>
      </c>
      <c r="AT18" s="62">
        <f>'Subscribers &amp; Revenue'!AT34</f>
        <v>3709</v>
      </c>
      <c r="AU18" s="62">
        <f>'Subscribers &amp; Revenue'!AU34</f>
        <v>4080</v>
      </c>
      <c r="AV18" s="62">
        <f>'Subscribers &amp; Revenue'!AV34</f>
        <v>4488</v>
      </c>
      <c r="AW18" s="62">
        <f>'Subscribers &amp; Revenue'!AW34</f>
        <v>4937</v>
      </c>
      <c r="AX18" s="62">
        <f>'Subscribers &amp; Revenue'!AX34</f>
        <v>5431</v>
      </c>
      <c r="AY18" s="62">
        <f>'Subscribers &amp; Revenue'!AY34</f>
        <v>5974</v>
      </c>
      <c r="AZ18" s="62">
        <f>'Subscribers &amp; Revenue'!AZ34</f>
        <v>6571</v>
      </c>
      <c r="BA18" s="62">
        <f>'Subscribers &amp; Revenue'!BA34</f>
        <v>7228</v>
      </c>
      <c r="BB18" s="62">
        <f>'Subscribers &amp; Revenue'!BB34</f>
        <v>7951</v>
      </c>
      <c r="BC18" s="62">
        <f>'Subscribers &amp; Revenue'!BC34</f>
        <v>8746</v>
      </c>
      <c r="BD18" s="62">
        <f>'Subscribers &amp; Revenue'!BD34</f>
        <v>9621</v>
      </c>
      <c r="BE18" s="62">
        <f>'Subscribers &amp; Revenue'!BE34</f>
        <v>10583</v>
      </c>
      <c r="BF18" s="62">
        <f>'Subscribers &amp; Revenue'!BF34</f>
        <v>11641</v>
      </c>
      <c r="BG18" s="62">
        <f>'Subscribers &amp; Revenue'!BG34</f>
        <v>12805</v>
      </c>
      <c r="BH18" s="62">
        <f>'Subscribers &amp; Revenue'!BH34</f>
        <v>14086</v>
      </c>
      <c r="BI18" s="62">
        <f>'Subscribers &amp; Revenue'!BI34</f>
        <v>15495</v>
      </c>
      <c r="BJ18" s="62">
        <f>'Subscribers &amp; Revenue'!BJ34</f>
        <v>17045</v>
      </c>
      <c r="BK18" s="62">
        <f>'Subscribers &amp; Revenue'!BK34</f>
        <v>18750</v>
      </c>
      <c r="BL18" s="62">
        <f>'Subscribers &amp; Revenue'!BL34</f>
        <v>20625</v>
      </c>
      <c r="BM18" s="62">
        <f>'Subscribers &amp; Revenue'!BM34</f>
        <v>22688</v>
      </c>
      <c r="BN18" s="62">
        <f>'Subscribers &amp; Revenue'!BN34</f>
        <v>24957</v>
      </c>
    </row>
    <row r="19" spans="1:66" ht="14.7" customHeight="1" x14ac:dyDescent="0.3">
      <c r="C19" t="s">
        <v>38</v>
      </c>
      <c r="G19" s="62">
        <f>'Subscribers &amp; Revenue'!G35</f>
        <v>55</v>
      </c>
      <c r="H19" s="62">
        <f>'Subscribers &amp; Revenue'!H35</f>
        <v>59</v>
      </c>
      <c r="I19" s="62">
        <f>'Subscribers &amp; Revenue'!I35</f>
        <v>63</v>
      </c>
      <c r="J19" s="62">
        <f>'Subscribers &amp; Revenue'!J35</f>
        <v>67</v>
      </c>
      <c r="K19" s="62">
        <f>'Subscribers &amp; Revenue'!K35</f>
        <v>72</v>
      </c>
      <c r="L19" s="62">
        <f>'Subscribers &amp; Revenue'!L35</f>
        <v>77</v>
      </c>
      <c r="M19" s="62">
        <f>'Subscribers &amp; Revenue'!M35</f>
        <v>82</v>
      </c>
      <c r="N19" s="62">
        <f>'Subscribers &amp; Revenue'!N35</f>
        <v>88</v>
      </c>
      <c r="O19" s="62">
        <f>'Subscribers &amp; Revenue'!O35</f>
        <v>94</v>
      </c>
      <c r="P19" s="62">
        <f>'Subscribers &amp; Revenue'!P35</f>
        <v>101</v>
      </c>
      <c r="Q19" s="62">
        <f>'Subscribers &amp; Revenue'!Q35</f>
        <v>108</v>
      </c>
      <c r="R19" s="62">
        <f>'Subscribers &amp; Revenue'!R35</f>
        <v>116</v>
      </c>
      <c r="S19" s="62">
        <f>'Subscribers &amp; Revenue'!S35</f>
        <v>124</v>
      </c>
      <c r="T19" s="62">
        <f>'Subscribers &amp; Revenue'!T35</f>
        <v>133</v>
      </c>
      <c r="U19" s="62">
        <f>'Subscribers &amp; Revenue'!U35</f>
        <v>142</v>
      </c>
      <c r="V19" s="62">
        <f>'Subscribers &amp; Revenue'!V35</f>
        <v>152</v>
      </c>
      <c r="W19" s="62">
        <f>'Subscribers &amp; Revenue'!W35</f>
        <v>163</v>
      </c>
      <c r="X19" s="62">
        <f>'Subscribers &amp; Revenue'!X35</f>
        <v>174</v>
      </c>
      <c r="Y19" s="62">
        <f>'Subscribers &amp; Revenue'!Y35</f>
        <v>186</v>
      </c>
      <c r="Z19" s="62">
        <f>'Subscribers &amp; Revenue'!Z35</f>
        <v>199</v>
      </c>
      <c r="AA19" s="62">
        <f>'Subscribers &amp; Revenue'!AA35</f>
        <v>213</v>
      </c>
      <c r="AB19" s="62">
        <f>'Subscribers &amp; Revenue'!AB35</f>
        <v>228</v>
      </c>
      <c r="AC19" s="62">
        <f>'Subscribers &amp; Revenue'!AC35</f>
        <v>244</v>
      </c>
      <c r="AD19" s="62">
        <f>'Subscribers &amp; Revenue'!AD35</f>
        <v>261</v>
      </c>
      <c r="AE19" s="62">
        <f>'Subscribers &amp; Revenue'!AE35</f>
        <v>279</v>
      </c>
      <c r="AF19" s="62">
        <f>'Subscribers &amp; Revenue'!AF35</f>
        <v>299</v>
      </c>
      <c r="AG19" s="62">
        <f>'Subscribers &amp; Revenue'!AG35</f>
        <v>320</v>
      </c>
      <c r="AH19" s="62">
        <f>'Subscribers &amp; Revenue'!AH35</f>
        <v>342</v>
      </c>
      <c r="AI19" s="62">
        <f>'Subscribers &amp; Revenue'!AI35</f>
        <v>366</v>
      </c>
      <c r="AJ19" s="62">
        <f>'Subscribers &amp; Revenue'!AJ35</f>
        <v>392</v>
      </c>
      <c r="AK19" s="62">
        <f>'Subscribers &amp; Revenue'!AK35</f>
        <v>419</v>
      </c>
      <c r="AL19" s="62">
        <f>'Subscribers &amp; Revenue'!AL35</f>
        <v>448</v>
      </c>
      <c r="AM19" s="62">
        <f>'Subscribers &amp; Revenue'!AM35</f>
        <v>479</v>
      </c>
      <c r="AN19" s="62">
        <f>'Subscribers &amp; Revenue'!AN35</f>
        <v>513</v>
      </c>
      <c r="AO19" s="62">
        <f>'Subscribers &amp; Revenue'!AO35</f>
        <v>549</v>
      </c>
      <c r="AP19" s="62">
        <f>'Subscribers &amp; Revenue'!AP35</f>
        <v>587</v>
      </c>
      <c r="AQ19" s="62">
        <f>'Subscribers &amp; Revenue'!AQ35</f>
        <v>628</v>
      </c>
      <c r="AR19" s="62">
        <f>'Subscribers &amp; Revenue'!AR35</f>
        <v>672</v>
      </c>
      <c r="AS19" s="62">
        <f>'Subscribers &amp; Revenue'!AS35</f>
        <v>719</v>
      </c>
      <c r="AT19" s="62">
        <f>'Subscribers &amp; Revenue'!AT35</f>
        <v>769</v>
      </c>
      <c r="AU19" s="62">
        <f>'Subscribers &amp; Revenue'!AU35</f>
        <v>823</v>
      </c>
      <c r="AV19" s="62">
        <f>'Subscribers &amp; Revenue'!AV35</f>
        <v>881</v>
      </c>
      <c r="AW19" s="62">
        <f>'Subscribers &amp; Revenue'!AW35</f>
        <v>943</v>
      </c>
      <c r="AX19" s="62">
        <f>'Subscribers &amp; Revenue'!AX35</f>
        <v>1009</v>
      </c>
      <c r="AY19" s="62">
        <f>'Subscribers &amp; Revenue'!AY35</f>
        <v>1080</v>
      </c>
      <c r="AZ19" s="62">
        <f>'Subscribers &amp; Revenue'!AZ35</f>
        <v>1156</v>
      </c>
      <c r="BA19" s="62">
        <f>'Subscribers &amp; Revenue'!BA35</f>
        <v>1237</v>
      </c>
      <c r="BB19" s="62">
        <f>'Subscribers &amp; Revenue'!BB35</f>
        <v>1324</v>
      </c>
      <c r="BC19" s="62">
        <f>'Subscribers &amp; Revenue'!BC35</f>
        <v>1417</v>
      </c>
      <c r="BD19" s="62">
        <f>'Subscribers &amp; Revenue'!BD35</f>
        <v>1516</v>
      </c>
      <c r="BE19" s="62">
        <f>'Subscribers &amp; Revenue'!BE35</f>
        <v>1622</v>
      </c>
      <c r="BF19" s="62">
        <f>'Subscribers &amp; Revenue'!BF35</f>
        <v>1736</v>
      </c>
      <c r="BG19" s="62">
        <f>'Subscribers &amp; Revenue'!BG35</f>
        <v>1858</v>
      </c>
      <c r="BH19" s="62">
        <f>'Subscribers &amp; Revenue'!BH35</f>
        <v>1988</v>
      </c>
      <c r="BI19" s="62">
        <f>'Subscribers &amp; Revenue'!BI35</f>
        <v>2127</v>
      </c>
      <c r="BJ19" s="62">
        <f>'Subscribers &amp; Revenue'!BJ35</f>
        <v>2276</v>
      </c>
      <c r="BK19" s="62">
        <f>'Subscribers &amp; Revenue'!BK35</f>
        <v>2435</v>
      </c>
      <c r="BL19" s="62">
        <f>'Subscribers &amp; Revenue'!BL35</f>
        <v>2605</v>
      </c>
      <c r="BM19" s="62">
        <f>'Subscribers &amp; Revenue'!BM35</f>
        <v>2787</v>
      </c>
      <c r="BN19" s="62">
        <f>'Subscribers &amp; Revenue'!BN35</f>
        <v>2982</v>
      </c>
    </row>
    <row r="20" spans="1:66" ht="14.7" customHeight="1" x14ac:dyDescent="0.3">
      <c r="C20" s="11" t="s">
        <v>78</v>
      </c>
      <c r="D20" s="11"/>
      <c r="E20" s="11"/>
      <c r="F20" s="11"/>
      <c r="G20" s="71">
        <f>SUM(G18:G19)</f>
        <v>145</v>
      </c>
      <c r="H20" s="71">
        <f t="shared" ref="H20:BN20" si="98">SUM(H18:H19)</f>
        <v>158</v>
      </c>
      <c r="I20" s="71">
        <f t="shared" si="98"/>
        <v>172</v>
      </c>
      <c r="J20" s="71">
        <f t="shared" si="98"/>
        <v>187</v>
      </c>
      <c r="K20" s="71">
        <f t="shared" si="98"/>
        <v>204</v>
      </c>
      <c r="L20" s="71">
        <f t="shared" si="98"/>
        <v>222</v>
      </c>
      <c r="M20" s="71">
        <f t="shared" si="98"/>
        <v>242</v>
      </c>
      <c r="N20" s="71">
        <f t="shared" si="98"/>
        <v>264</v>
      </c>
      <c r="O20" s="71">
        <f t="shared" si="98"/>
        <v>288</v>
      </c>
      <c r="P20" s="71">
        <f t="shared" si="98"/>
        <v>314</v>
      </c>
      <c r="Q20" s="71">
        <f t="shared" si="98"/>
        <v>342</v>
      </c>
      <c r="R20" s="71">
        <f t="shared" si="98"/>
        <v>373</v>
      </c>
      <c r="S20" s="71">
        <f t="shared" si="98"/>
        <v>407</v>
      </c>
      <c r="T20" s="71">
        <f t="shared" si="98"/>
        <v>444</v>
      </c>
      <c r="U20" s="71">
        <f t="shared" si="98"/>
        <v>484</v>
      </c>
      <c r="V20" s="71">
        <f t="shared" si="98"/>
        <v>528</v>
      </c>
      <c r="W20" s="71">
        <f t="shared" si="98"/>
        <v>577</v>
      </c>
      <c r="X20" s="71">
        <f t="shared" si="98"/>
        <v>629</v>
      </c>
      <c r="Y20" s="71">
        <f t="shared" si="98"/>
        <v>687</v>
      </c>
      <c r="Z20" s="71">
        <f t="shared" si="98"/>
        <v>750</v>
      </c>
      <c r="AA20" s="71">
        <f t="shared" si="98"/>
        <v>819</v>
      </c>
      <c r="AB20" s="71">
        <f t="shared" si="98"/>
        <v>895</v>
      </c>
      <c r="AC20" s="71">
        <f t="shared" si="98"/>
        <v>978</v>
      </c>
      <c r="AD20" s="71">
        <f t="shared" si="98"/>
        <v>1068</v>
      </c>
      <c r="AE20" s="71">
        <f t="shared" si="98"/>
        <v>1167</v>
      </c>
      <c r="AF20" s="71">
        <f t="shared" si="98"/>
        <v>1276</v>
      </c>
      <c r="AG20" s="71">
        <f t="shared" si="98"/>
        <v>1395</v>
      </c>
      <c r="AH20" s="71">
        <f t="shared" si="98"/>
        <v>1525</v>
      </c>
      <c r="AI20" s="71">
        <f t="shared" si="98"/>
        <v>1667</v>
      </c>
      <c r="AJ20" s="71">
        <f t="shared" si="98"/>
        <v>1823</v>
      </c>
      <c r="AK20" s="71">
        <f t="shared" si="98"/>
        <v>1993</v>
      </c>
      <c r="AL20" s="71">
        <f t="shared" si="98"/>
        <v>2179</v>
      </c>
      <c r="AM20" s="71">
        <f t="shared" si="98"/>
        <v>2383</v>
      </c>
      <c r="AN20" s="71">
        <f t="shared" si="98"/>
        <v>2607</v>
      </c>
      <c r="AO20" s="71">
        <f t="shared" si="98"/>
        <v>2852</v>
      </c>
      <c r="AP20" s="71">
        <f t="shared" si="98"/>
        <v>3120</v>
      </c>
      <c r="AQ20" s="71">
        <f t="shared" si="98"/>
        <v>3414</v>
      </c>
      <c r="AR20" s="71">
        <f t="shared" si="98"/>
        <v>3737</v>
      </c>
      <c r="AS20" s="71">
        <f t="shared" si="98"/>
        <v>4091</v>
      </c>
      <c r="AT20" s="71">
        <f t="shared" si="98"/>
        <v>4478</v>
      </c>
      <c r="AU20" s="71">
        <f t="shared" si="98"/>
        <v>4903</v>
      </c>
      <c r="AV20" s="71">
        <f t="shared" si="98"/>
        <v>5369</v>
      </c>
      <c r="AW20" s="71">
        <f t="shared" si="98"/>
        <v>5880</v>
      </c>
      <c r="AX20" s="71">
        <f t="shared" si="98"/>
        <v>6440</v>
      </c>
      <c r="AY20" s="71">
        <f t="shared" si="98"/>
        <v>7054</v>
      </c>
      <c r="AZ20" s="71">
        <f t="shared" si="98"/>
        <v>7727</v>
      </c>
      <c r="BA20" s="71">
        <f t="shared" si="98"/>
        <v>8465</v>
      </c>
      <c r="BB20" s="71">
        <f t="shared" si="98"/>
        <v>9275</v>
      </c>
      <c r="BC20" s="71">
        <f t="shared" si="98"/>
        <v>10163</v>
      </c>
      <c r="BD20" s="71">
        <f t="shared" si="98"/>
        <v>11137</v>
      </c>
      <c r="BE20" s="71">
        <f t="shared" si="98"/>
        <v>12205</v>
      </c>
      <c r="BF20" s="71">
        <f t="shared" si="98"/>
        <v>13377</v>
      </c>
      <c r="BG20" s="71">
        <f t="shared" si="98"/>
        <v>14663</v>
      </c>
      <c r="BH20" s="71">
        <f t="shared" si="98"/>
        <v>16074</v>
      </c>
      <c r="BI20" s="71">
        <f t="shared" si="98"/>
        <v>17622</v>
      </c>
      <c r="BJ20" s="71">
        <f t="shared" si="98"/>
        <v>19321</v>
      </c>
      <c r="BK20" s="71">
        <f t="shared" si="98"/>
        <v>21185</v>
      </c>
      <c r="BL20" s="71">
        <f t="shared" si="98"/>
        <v>23230</v>
      </c>
      <c r="BM20" s="71">
        <f t="shared" si="98"/>
        <v>25475</v>
      </c>
      <c r="BN20" s="71">
        <f t="shared" si="98"/>
        <v>27939</v>
      </c>
    </row>
    <row r="21" spans="1:66" ht="14.4" customHeight="1" x14ac:dyDescent="0.3">
      <c r="C21" s="25" t="s">
        <v>19</v>
      </c>
      <c r="H21" s="52">
        <f>H20/G20-1</f>
        <v>8.9655172413793061E-2</v>
      </c>
      <c r="I21" s="52">
        <f t="shared" ref="I21:AD21" si="99">I20/H20-1</f>
        <v>8.8607594936708889E-2</v>
      </c>
      <c r="J21" s="52">
        <f t="shared" si="99"/>
        <v>8.7209302325581328E-2</v>
      </c>
      <c r="K21" s="52">
        <f t="shared" si="99"/>
        <v>9.0909090909090828E-2</v>
      </c>
      <c r="L21" s="52">
        <f t="shared" si="99"/>
        <v>8.8235294117646967E-2</v>
      </c>
      <c r="M21" s="52">
        <f t="shared" si="99"/>
        <v>9.0090090090090058E-2</v>
      </c>
      <c r="N21" s="52">
        <f t="shared" si="99"/>
        <v>9.0909090909090828E-2</v>
      </c>
      <c r="O21" s="52">
        <f t="shared" si="99"/>
        <v>9.0909090909090828E-2</v>
      </c>
      <c r="P21" s="52">
        <f t="shared" si="99"/>
        <v>9.0277777777777679E-2</v>
      </c>
      <c r="Q21" s="52">
        <f t="shared" si="99"/>
        <v>8.9171974522292974E-2</v>
      </c>
      <c r="R21" s="52">
        <f t="shared" si="99"/>
        <v>9.0643274853801081E-2</v>
      </c>
      <c r="S21" s="52">
        <f t="shared" si="99"/>
        <v>9.1152815013404886E-2</v>
      </c>
      <c r="T21" s="52">
        <f t="shared" si="99"/>
        <v>9.0909090909090828E-2</v>
      </c>
      <c r="U21" s="52">
        <f t="shared" si="99"/>
        <v>9.0090090090090058E-2</v>
      </c>
      <c r="V21" s="52">
        <f t="shared" si="99"/>
        <v>9.0909090909090828E-2</v>
      </c>
      <c r="W21" s="52">
        <f t="shared" si="99"/>
        <v>9.2803030303030276E-2</v>
      </c>
      <c r="X21" s="52">
        <f t="shared" si="99"/>
        <v>9.0121317157712211E-2</v>
      </c>
      <c r="Y21" s="52">
        <f t="shared" si="99"/>
        <v>9.2209856915739241E-2</v>
      </c>
      <c r="Z21" s="52">
        <f t="shared" si="99"/>
        <v>9.1703056768559055E-2</v>
      </c>
      <c r="AA21" s="52">
        <f t="shared" si="99"/>
        <v>9.2000000000000082E-2</v>
      </c>
      <c r="AB21" s="52">
        <f t="shared" si="99"/>
        <v>9.2796092796092688E-2</v>
      </c>
      <c r="AC21" s="52">
        <f t="shared" si="99"/>
        <v>9.2737430167597834E-2</v>
      </c>
      <c r="AD21" s="52">
        <f t="shared" si="99"/>
        <v>9.2024539877300526E-2</v>
      </c>
      <c r="AE21" s="52">
        <f t="shared" ref="AE21" si="100">AE20/AD20-1</f>
        <v>9.2696629213483206E-2</v>
      </c>
      <c r="AF21" s="52">
        <f t="shared" ref="AF21" si="101">AF20/AE20-1</f>
        <v>9.3401885175664168E-2</v>
      </c>
      <c r="AG21" s="52">
        <f t="shared" ref="AG21" si="102">AG20/AF20-1</f>
        <v>9.3260188087774365E-2</v>
      </c>
      <c r="AH21" s="52">
        <f t="shared" ref="AH21" si="103">AH20/AG20-1</f>
        <v>9.3189964157706084E-2</v>
      </c>
      <c r="AI21" s="52">
        <f t="shared" ref="AI21" si="104">AI20/AH20-1</f>
        <v>9.3114754098360564E-2</v>
      </c>
      <c r="AJ21" s="52">
        <f t="shared" ref="AJ21" si="105">AJ20/AI20-1</f>
        <v>9.3581283743251253E-2</v>
      </c>
      <c r="AK21" s="52">
        <f t="shared" ref="AK21" si="106">AK20/AJ20-1</f>
        <v>9.3252879868348959E-2</v>
      </c>
      <c r="AL21" s="52">
        <f t="shared" ref="AL21" si="107">AL20/AK20-1</f>
        <v>9.3326643251379737E-2</v>
      </c>
      <c r="AM21" s="52">
        <f t="shared" ref="AM21" si="108">AM20/AL20-1</f>
        <v>9.362092703074798E-2</v>
      </c>
      <c r="AN21" s="52">
        <f t="shared" ref="AN21" si="109">AN20/AM20-1</f>
        <v>9.3999160721779162E-2</v>
      </c>
      <c r="AO21" s="52">
        <f t="shared" ref="AO21" si="110">AO20/AN20-1</f>
        <v>9.3977752205600229E-2</v>
      </c>
      <c r="AP21" s="52">
        <f t="shared" ref="AP21" si="111">AP20/AO20-1</f>
        <v>9.3969144460028131E-2</v>
      </c>
      <c r="AQ21" s="52">
        <f t="shared" ref="AQ21" si="112">AQ20/AP20-1</f>
        <v>9.423076923076934E-2</v>
      </c>
      <c r="AR21" s="52">
        <f t="shared" ref="AR21" si="113">AR20/AQ20-1</f>
        <v>9.4610427650849482E-2</v>
      </c>
      <c r="AS21" s="52">
        <f t="shared" ref="AS21" si="114">AS20/AR20-1</f>
        <v>9.4728391758094777E-2</v>
      </c>
      <c r="AT21" s="52">
        <f t="shared" ref="AT21" si="115">AT20/AS20-1</f>
        <v>9.4597897824492794E-2</v>
      </c>
      <c r="AU21" s="52">
        <f t="shared" ref="AU21" si="116">AU20/AT20-1</f>
        <v>9.4908441268423349E-2</v>
      </c>
      <c r="AV21" s="52">
        <f t="shared" ref="AV21" si="117">AV20/AU20-1</f>
        <v>9.5043850703650845E-2</v>
      </c>
      <c r="AW21" s="52">
        <f t="shared" ref="AW21" si="118">AW20/AV20-1</f>
        <v>9.5176010430247704E-2</v>
      </c>
      <c r="AX21" s="52">
        <f t="shared" ref="AX21" si="119">AX20/AW20-1</f>
        <v>9.5238095238095344E-2</v>
      </c>
      <c r="AY21" s="52">
        <f t="shared" ref="AY21" si="120">AY20/AX20-1</f>
        <v>9.5341614906832239E-2</v>
      </c>
      <c r="AZ21" s="52">
        <f t="shared" ref="AZ21" si="121">AZ20/AY20-1</f>
        <v>9.5406861355259442E-2</v>
      </c>
      <c r="BA21" s="52">
        <f t="shared" ref="BA21" si="122">BA20/AZ20-1</f>
        <v>9.5509253267762384E-2</v>
      </c>
      <c r="BB21" s="52">
        <f t="shared" ref="BB21" si="123">BB20/BA20-1</f>
        <v>9.5688127584170113E-2</v>
      </c>
      <c r="BC21" s="52">
        <f t="shared" ref="BC21" si="124">BC20/BB20-1</f>
        <v>9.5741239892183305E-2</v>
      </c>
      <c r="BD21" s="52">
        <f t="shared" ref="BD21" si="125">BD20/BC20-1</f>
        <v>9.5837843156548308E-2</v>
      </c>
      <c r="BE21" s="52">
        <f t="shared" ref="BE21" si="126">BE20/BD20-1</f>
        <v>9.5896561012840165E-2</v>
      </c>
      <c r="BF21" s="52">
        <f t="shared" ref="BF21" si="127">BF20/BE20-1</f>
        <v>9.602621876280204E-2</v>
      </c>
      <c r="BG21" s="52">
        <f t="shared" ref="BG21" si="128">BG20/BF20-1</f>
        <v>9.6135157359647172E-2</v>
      </c>
      <c r="BH21" s="52">
        <f t="shared" ref="BH21" si="129">BH20/BG20-1</f>
        <v>9.6228602605196834E-2</v>
      </c>
      <c r="BI21" s="52">
        <f t="shared" ref="BI21" si="130">BI20/BH20-1</f>
        <v>9.6304591265397477E-2</v>
      </c>
      <c r="BJ21" s="52">
        <f t="shared" ref="BJ21" si="131">BJ20/BI20-1</f>
        <v>9.6413573941663833E-2</v>
      </c>
      <c r="BK21" s="52">
        <f t="shared" ref="BK21" si="132">BK20/BJ20-1</f>
        <v>9.6475337715439258E-2</v>
      </c>
      <c r="BL21" s="52">
        <f t="shared" ref="BL21" si="133">BL20/BK20-1</f>
        <v>9.6530564078357362E-2</v>
      </c>
      <c r="BM21" s="52">
        <f t="shared" ref="BM21" si="134">BM20/BL20-1</f>
        <v>9.6642272922944361E-2</v>
      </c>
      <c r="BN21" s="52">
        <f t="shared" ref="BN21" si="135">BN20/BM20-1</f>
        <v>9.6722276741903812E-2</v>
      </c>
    </row>
    <row r="22" spans="1:66" ht="3" customHeight="1" x14ac:dyDescent="0.3"/>
    <row r="23" spans="1:66" ht="14.4" customHeight="1" x14ac:dyDescent="0.3">
      <c r="C23" t="s">
        <v>44</v>
      </c>
      <c r="G23" s="50">
        <f>'Subscribers &amp; Revenue'!G72</f>
        <v>50550</v>
      </c>
      <c r="H23" s="50">
        <f>'Subscribers &amp; Revenue'!H72</f>
        <v>100620</v>
      </c>
      <c r="I23" s="50">
        <f>'Subscribers &amp; Revenue'!I72</f>
        <v>151290</v>
      </c>
      <c r="J23" s="50">
        <f>'Subscribers &amp; Revenue'!J72</f>
        <v>202560</v>
      </c>
      <c r="K23" s="50">
        <f>'Subscribers &amp; Revenue'!K72</f>
        <v>255480</v>
      </c>
      <c r="L23" s="50">
        <f>'Subscribers &amp; Revenue'!L72</f>
        <v>310410</v>
      </c>
      <c r="M23" s="50">
        <f>'Subscribers &amp; Revenue'!M72</f>
        <v>368070</v>
      </c>
      <c r="N23" s="50">
        <f>'Subscribers &amp; Revenue'!N72</f>
        <v>428790</v>
      </c>
      <c r="O23" s="50">
        <f>'Subscribers &amp; Revenue'!O72</f>
        <v>493290</v>
      </c>
      <c r="P23" s="50">
        <f>'Subscribers &amp; Revenue'!P72</f>
        <v>561900</v>
      </c>
      <c r="Q23" s="50">
        <f>'Subscribers &amp; Revenue'!Q72</f>
        <v>634980</v>
      </c>
      <c r="R23" s="50">
        <f>'Subscribers &amp; Revenue'!R72</f>
        <v>713220</v>
      </c>
      <c r="S23" s="50">
        <f>'Subscribers &amp; Revenue'!S72</f>
        <v>791430</v>
      </c>
      <c r="T23" s="50">
        <f>'Subscribers &amp; Revenue'!T72</f>
        <v>875550</v>
      </c>
      <c r="U23" s="50">
        <f>'Subscribers &amp; Revenue'!U72</f>
        <v>966270</v>
      </c>
      <c r="V23" s="50">
        <f>'Subscribers &amp; Revenue'!V72</f>
        <v>1064640</v>
      </c>
      <c r="W23" s="50">
        <f>'Subscribers &amp; Revenue'!W72</f>
        <v>1171020</v>
      </c>
      <c r="X23" s="50">
        <f>'Subscribers &amp; Revenue'!X72</f>
        <v>1286130</v>
      </c>
      <c r="Y23" s="50">
        <f>'Subscribers &amp; Revenue'!Y72</f>
        <v>1411020</v>
      </c>
      <c r="Z23" s="50">
        <f>'Subscribers &amp; Revenue'!Z72</f>
        <v>1546740</v>
      </c>
      <c r="AA23" s="50">
        <f>'Subscribers &amp; Revenue'!AA72</f>
        <v>1693980</v>
      </c>
      <c r="AB23" s="50">
        <f>'Subscribers &amp; Revenue'!AB72</f>
        <v>1854510</v>
      </c>
      <c r="AC23" s="50">
        <f>'Subscribers &amp; Revenue'!AC72</f>
        <v>2029050</v>
      </c>
      <c r="AD23" s="50">
        <f>'Subscribers &amp; Revenue'!AD72</f>
        <v>2218290</v>
      </c>
      <c r="AE23" s="50">
        <f>'Subscribers &amp; Revenue'!AE72</f>
        <v>2412810</v>
      </c>
      <c r="AF23" s="50">
        <f>'Subscribers &amp; Revenue'!AF72</f>
        <v>2624550</v>
      </c>
      <c r="AG23" s="50">
        <f>'Subscribers &amp; Revenue'!AG72</f>
        <v>2855280</v>
      </c>
      <c r="AH23" s="50">
        <f>'Subscribers &amp; Revenue'!AH72</f>
        <v>3107130</v>
      </c>
      <c r="AI23" s="50">
        <f>'Subscribers &amp; Revenue'!AI72</f>
        <v>3381150</v>
      </c>
      <c r="AJ23" s="50">
        <f>'Subscribers &amp; Revenue'!AJ72</f>
        <v>3680160</v>
      </c>
      <c r="AK23" s="50">
        <f>'Subscribers &amp; Revenue'!AK72</f>
        <v>4006290</v>
      </c>
      <c r="AL23" s="50">
        <f>'Subscribers &amp; Revenue'!AL72</f>
        <v>4361700</v>
      </c>
      <c r="AM23" s="50">
        <f>'Subscribers &amp; Revenue'!AM72</f>
        <v>4749210</v>
      </c>
      <c r="AN23" s="50">
        <f>'Subscribers &amp; Revenue'!AN72</f>
        <v>5171640</v>
      </c>
      <c r="AO23" s="50">
        <f>'Subscribers &amp; Revenue'!AO72</f>
        <v>5633220</v>
      </c>
      <c r="AP23" s="50">
        <f>'Subscribers &amp; Revenue'!AP72</f>
        <v>6136830</v>
      </c>
      <c r="AQ23" s="50">
        <f>'Subscribers &amp; Revenue'!AQ72</f>
        <v>6686040</v>
      </c>
      <c r="AR23" s="50">
        <f>'Subscribers &amp; Revenue'!AR72</f>
        <v>7286130</v>
      </c>
      <c r="AS23" s="50">
        <f>'Subscribers &amp; Revenue'!AS72</f>
        <v>7941720</v>
      </c>
      <c r="AT23" s="50">
        <f>'Subscribers &amp; Revenue'!AT72</f>
        <v>8657100</v>
      </c>
      <c r="AU23" s="50">
        <f>'Subscribers &amp; Revenue'!AU72</f>
        <v>9438990</v>
      </c>
      <c r="AV23" s="50">
        <f>'Subscribers &amp; Revenue'!AV72</f>
        <v>10293420</v>
      </c>
      <c r="AW23" s="50">
        <f>'Subscribers &amp; Revenue'!AW72</f>
        <v>11227170</v>
      </c>
      <c r="AX23" s="50">
        <f>'Subscribers &amp; Revenue'!AX72</f>
        <v>12248040</v>
      </c>
      <c r="AY23" s="50">
        <f>'Subscribers &amp; Revenue'!AY72</f>
        <v>13363860</v>
      </c>
      <c r="AZ23" s="50">
        <f>'Subscribers &amp; Revenue'!AZ72</f>
        <v>14583180</v>
      </c>
      <c r="BA23" s="50">
        <f>'Subscribers &amp; Revenue'!BA72</f>
        <v>15916320</v>
      </c>
      <c r="BB23" s="50">
        <f>'Subscribers &amp; Revenue'!BB72</f>
        <v>17374290</v>
      </c>
      <c r="BC23" s="50">
        <f>'Subscribers &amp; Revenue'!BC72</f>
        <v>18968850</v>
      </c>
      <c r="BD23" s="50">
        <f>'Subscribers &amp; Revenue'!BD72</f>
        <v>20713200</v>
      </c>
      <c r="BE23" s="50">
        <f>'Subscribers &amp; Revenue'!BE72</f>
        <v>22620540</v>
      </c>
      <c r="BF23" s="50">
        <f>'Subscribers &amp; Revenue'!BF72</f>
        <v>24707550</v>
      </c>
      <c r="BG23" s="50">
        <f>'Subscribers &amp; Revenue'!BG72</f>
        <v>26991030</v>
      </c>
      <c r="BH23" s="50">
        <f>'Subscribers &amp; Revenue'!BH72</f>
        <v>29489880</v>
      </c>
      <c r="BI23" s="50">
        <f>'Subscribers &amp; Revenue'!BI72</f>
        <v>32224410</v>
      </c>
      <c r="BJ23" s="50">
        <f>'Subscribers &amp; Revenue'!BJ72</f>
        <v>35217810</v>
      </c>
      <c r="BK23" s="50">
        <f>'Subscribers &amp; Revenue'!BK72</f>
        <v>38494350</v>
      </c>
      <c r="BL23" s="50">
        <f>'Subscribers &amp; Revenue'!BL72</f>
        <v>42080820</v>
      </c>
      <c r="BM23" s="50">
        <f>'Subscribers &amp; Revenue'!BM72</f>
        <v>46007190</v>
      </c>
      <c r="BN23" s="50">
        <f>'Subscribers &amp; Revenue'!BN72</f>
        <v>50306640</v>
      </c>
    </row>
    <row r="24" spans="1:66" ht="14.4" customHeight="1" x14ac:dyDescent="0.3">
      <c r="C24" s="25" t="s">
        <v>19</v>
      </c>
      <c r="H24" s="52">
        <f>H23/G23-1</f>
        <v>0.99050445103857565</v>
      </c>
      <c r="I24" s="52">
        <f t="shared" ref="I24:AD24" si="136">I23/H23-1</f>
        <v>0.50357781753130593</v>
      </c>
      <c r="J24" s="52">
        <f t="shared" si="136"/>
        <v>0.33888558397779089</v>
      </c>
      <c r="K24" s="52">
        <f t="shared" si="136"/>
        <v>0.26125592417061605</v>
      </c>
      <c r="L24" s="52">
        <f t="shared" si="136"/>
        <v>0.21500704556129646</v>
      </c>
      <c r="M24" s="52">
        <f t="shared" si="136"/>
        <v>0.18575432492509902</v>
      </c>
      <c r="N24" s="52">
        <f t="shared" si="136"/>
        <v>0.16496862009943758</v>
      </c>
      <c r="O24" s="52">
        <f t="shared" si="136"/>
        <v>0.15042328412509609</v>
      </c>
      <c r="P24" s="52">
        <f t="shared" si="136"/>
        <v>0.13908654138539189</v>
      </c>
      <c r="Q24" s="52">
        <f t="shared" si="136"/>
        <v>0.13005872931126539</v>
      </c>
      <c r="R24" s="52">
        <f t="shared" si="136"/>
        <v>0.12321647925918922</v>
      </c>
      <c r="S24" s="52">
        <f t="shared" si="136"/>
        <v>0.10965760915285605</v>
      </c>
      <c r="T24" s="52">
        <f t="shared" si="136"/>
        <v>0.10628861680755097</v>
      </c>
      <c r="U24" s="52">
        <f t="shared" si="136"/>
        <v>0.10361487065273267</v>
      </c>
      <c r="V24" s="52">
        <f t="shared" si="136"/>
        <v>0.10180384364618589</v>
      </c>
      <c r="W24" s="52">
        <f t="shared" si="136"/>
        <v>9.9921100090171411E-2</v>
      </c>
      <c r="X24" s="52">
        <f t="shared" si="136"/>
        <v>9.8298918891223108E-2</v>
      </c>
      <c r="Y24" s="52">
        <f t="shared" si="136"/>
        <v>9.7105269296260843E-2</v>
      </c>
      <c r="Z24" s="52">
        <f t="shared" si="136"/>
        <v>9.6185737976782759E-2</v>
      </c>
      <c r="AA24" s="52">
        <f t="shared" si="136"/>
        <v>9.519376236471544E-2</v>
      </c>
      <c r="AB24" s="52">
        <f t="shared" si="136"/>
        <v>9.47649913222115E-2</v>
      </c>
      <c r="AC24" s="52">
        <f t="shared" si="136"/>
        <v>9.4116505168481135E-2</v>
      </c>
      <c r="AD24" s="52">
        <f t="shared" si="136"/>
        <v>9.3265321209432983E-2</v>
      </c>
      <c r="AE24" s="52">
        <f t="shared" ref="AE24" si="137">AE23/AD23-1</f>
        <v>8.768916597920029E-2</v>
      </c>
      <c r="AF24" s="52">
        <f t="shared" ref="AF24" si="138">AF23/AE23-1</f>
        <v>8.775659915202616E-2</v>
      </c>
      <c r="AG24" s="52">
        <f t="shared" ref="AG24" si="139">AG23/AF23-1</f>
        <v>8.7912213522318039E-2</v>
      </c>
      <c r="AH24" s="52">
        <f t="shared" ref="AH24" si="140">AH23/AG23-1</f>
        <v>8.8205009666302514E-2</v>
      </c>
      <c r="AI24" s="52">
        <f t="shared" ref="AI24" si="141">AI23/AH23-1</f>
        <v>8.8190709754661034E-2</v>
      </c>
      <c r="AJ24" s="52">
        <f t="shared" ref="AJ24" si="142">AJ23/AI23-1</f>
        <v>8.8434408411339316E-2</v>
      </c>
      <c r="AK24" s="52">
        <f t="shared" ref="AK24" si="143">AK23/AJ23-1</f>
        <v>8.86184296334942E-2</v>
      </c>
      <c r="AL24" s="52">
        <f t="shared" ref="AL24" si="144">AL23/AK23-1</f>
        <v>8.8712998809372223E-2</v>
      </c>
      <c r="AM24" s="52">
        <f t="shared" ref="AM24" si="145">AM23/AL23-1</f>
        <v>8.8843799435999626E-2</v>
      </c>
      <c r="AN24" s="52">
        <f t="shared" ref="AN24" si="146">AN23/AM23-1</f>
        <v>8.8947424940147846E-2</v>
      </c>
      <c r="AO24" s="52">
        <f t="shared" ref="AO24" si="147">AO23/AN23-1</f>
        <v>8.9252152121957362E-2</v>
      </c>
      <c r="AP24" s="52">
        <f t="shared" ref="AP24" si="148">AP23/AO23-1</f>
        <v>8.9400023432424147E-2</v>
      </c>
      <c r="AQ24" s="52">
        <f t="shared" ref="AQ24" si="149">AQ23/AP23-1</f>
        <v>8.949408733825126E-2</v>
      </c>
      <c r="AR24" s="52">
        <f t="shared" ref="AR24" si="150">AR23/AQ23-1</f>
        <v>8.9752678715652401E-2</v>
      </c>
      <c r="AS24" s="52">
        <f t="shared" ref="AS24" si="151">AS23/AR23-1</f>
        <v>8.9977807148651001E-2</v>
      </c>
      <c r="AT24" s="52">
        <f t="shared" ref="AT24" si="152">AT23/AS23-1</f>
        <v>9.0078723500702562E-2</v>
      </c>
      <c r="AU24" s="52">
        <f t="shared" ref="AU24" si="153">AU23/AT23-1</f>
        <v>9.0317773850365546E-2</v>
      </c>
      <c r="AV24" s="52">
        <f t="shared" ref="AV24" si="154">AV23/AU23-1</f>
        <v>9.0521337558361559E-2</v>
      </c>
      <c r="AW24" s="52">
        <f t="shared" ref="AW24" si="155">AW23/AV23-1</f>
        <v>9.0713290626438958E-2</v>
      </c>
      <c r="AX24" s="52">
        <f t="shared" ref="AX24" si="156">AX23/AW23-1</f>
        <v>9.0928524285282863E-2</v>
      </c>
      <c r="AY24" s="52">
        <f t="shared" ref="AY24" si="157">AY23/AX23-1</f>
        <v>9.1101923246494909E-2</v>
      </c>
      <c r="AZ24" s="52">
        <f t="shared" ref="AZ24" si="158">AZ23/AY23-1</f>
        <v>9.1240105777821601E-2</v>
      </c>
      <c r="BA24" s="52">
        <f t="shared" ref="BA24" si="159">BA23/AZ23-1</f>
        <v>9.1416275462553376E-2</v>
      </c>
      <c r="BB24" s="52">
        <f t="shared" ref="BB24" si="160">BB23/BA23-1</f>
        <v>9.1602204529690257E-2</v>
      </c>
      <c r="BC24" s="52">
        <f t="shared" ref="BC24" si="161">BC23/BB23-1</f>
        <v>9.1776987721512659E-2</v>
      </c>
      <c r="BD24" s="52">
        <f t="shared" ref="BD24" si="162">BD23/BC23-1</f>
        <v>9.1958658537549809E-2</v>
      </c>
      <c r="BE24" s="52">
        <f t="shared" ref="BE24" si="163">BE23/BD23-1</f>
        <v>9.2083309194137097E-2</v>
      </c>
      <c r="BF24" s="52">
        <f t="shared" ref="BF24" si="164">BF23/BE23-1</f>
        <v>9.2261723194936973E-2</v>
      </c>
      <c r="BG24" s="52">
        <f t="shared" ref="BG24" si="165">BG23/BF23-1</f>
        <v>9.2420333056090209E-2</v>
      </c>
      <c r="BH24" s="52">
        <f t="shared" ref="BH24" si="166">BH23/BG23-1</f>
        <v>9.2580757384953527E-2</v>
      </c>
      <c r="BI24" s="52">
        <f t="shared" ref="BI24" si="167">BI23/BH23-1</f>
        <v>9.2727742534048918E-2</v>
      </c>
      <c r="BJ24" s="52">
        <f t="shared" ref="BJ24" si="168">BJ23/BI23-1</f>
        <v>9.2892313621878664E-2</v>
      </c>
      <c r="BK24" s="52">
        <f t="shared" ref="BK24" si="169">BK23/BJ23-1</f>
        <v>9.3036449455545345E-2</v>
      </c>
      <c r="BL24" s="52">
        <f t="shared" ref="BL24" si="170">BL23/BK23-1</f>
        <v>9.3168737749825592E-2</v>
      </c>
      <c r="BM24" s="52">
        <f t="shared" ref="BM24" si="171">BM23/BL23-1</f>
        <v>9.3305453648479197E-2</v>
      </c>
      <c r="BN24" s="52">
        <f t="shared" ref="BN24" si="172">BN23/BM23-1</f>
        <v>9.3451697441204296E-2</v>
      </c>
    </row>
    <row r="25" spans="1:66" ht="3" customHeight="1" x14ac:dyDescent="0.3">
      <c r="C25" s="25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</row>
    <row r="26" spans="1:66" ht="14.4" customHeight="1" x14ac:dyDescent="0.3">
      <c r="C26" t="s">
        <v>30</v>
      </c>
      <c r="G26" s="50">
        <f>'Subscribers &amp; Revenue'!G64</f>
        <v>20850</v>
      </c>
      <c r="H26" s="50">
        <f>'Subscribers &amp; Revenue'!H64</f>
        <v>24720</v>
      </c>
      <c r="I26" s="50">
        <f>'Subscribers &amp; Revenue'!I64</f>
        <v>28530</v>
      </c>
      <c r="J26" s="50">
        <f>'Subscribers &amp; Revenue'!J64</f>
        <v>32280</v>
      </c>
      <c r="K26" s="50">
        <f>'Subscribers &amp; Revenue'!K64</f>
        <v>36360</v>
      </c>
      <c r="L26" s="50">
        <f>'Subscribers &amp; Revenue'!L64</f>
        <v>40470</v>
      </c>
      <c r="M26" s="50">
        <f>'Subscribers &amp; Revenue'!M64</f>
        <v>44670</v>
      </c>
      <c r="N26" s="50">
        <f>'Subscribers &amp; Revenue'!N64</f>
        <v>49290</v>
      </c>
      <c r="O26" s="50">
        <f>'Subscribers &amp; Revenue'!O64</f>
        <v>54060</v>
      </c>
      <c r="P26" s="50">
        <f>'Subscribers &amp; Revenue'!P64</f>
        <v>59310</v>
      </c>
      <c r="Q26" s="50">
        <f>'Subscribers &amp; Revenue'!Q64</f>
        <v>64740</v>
      </c>
      <c r="R26" s="50">
        <f>'Subscribers &amp; Revenue'!R64</f>
        <v>70710</v>
      </c>
      <c r="S26" s="50">
        <f>'Subscribers &amp; Revenue'!S64</f>
        <v>88860</v>
      </c>
      <c r="T26" s="50">
        <f>'Subscribers &amp; Revenue'!T64</f>
        <v>96420</v>
      </c>
      <c r="U26" s="50">
        <f>'Subscribers &amp; Revenue'!U64</f>
        <v>104640</v>
      </c>
      <c r="V26" s="50">
        <f>'Subscribers &amp; Revenue'!V64</f>
        <v>113580</v>
      </c>
      <c r="W26" s="50">
        <f>'Subscribers &amp; Revenue'!W64</f>
        <v>123270</v>
      </c>
      <c r="X26" s="50">
        <f>'Subscribers &amp; Revenue'!X64</f>
        <v>133440</v>
      </c>
      <c r="Y26" s="50">
        <f>'Subscribers &amp; Revenue'!Y64</f>
        <v>144480</v>
      </c>
      <c r="Z26" s="50">
        <f>'Subscribers &amp; Revenue'!Z64</f>
        <v>156780</v>
      </c>
      <c r="AA26" s="50">
        <f>'Subscribers &amp; Revenue'!AA64</f>
        <v>170040</v>
      </c>
      <c r="AB26" s="50">
        <f>'Subscribers &amp; Revenue'!AB64</f>
        <v>184710</v>
      </c>
      <c r="AC26" s="50">
        <f>'Subscribers &amp; Revenue'!AC64</f>
        <v>200190</v>
      </c>
      <c r="AD26" s="50">
        <f>'Subscribers &amp; Revenue'!AD64</f>
        <v>217170</v>
      </c>
      <c r="AE26" s="50">
        <f>'Subscribers &amp; Revenue'!AE64</f>
        <v>235800</v>
      </c>
      <c r="AF26" s="50">
        <f>'Subscribers &amp; Revenue'!AF64</f>
        <v>255810</v>
      </c>
      <c r="AG26" s="50">
        <f>'Subscribers &amp; Revenue'!AG64</f>
        <v>277650</v>
      </c>
      <c r="AH26" s="50">
        <f>'Subscribers &amp; Revenue'!AH64</f>
        <v>301470</v>
      </c>
      <c r="AI26" s="50">
        <f>'Subscribers &amp; Revenue'!AI64</f>
        <v>327330</v>
      </c>
      <c r="AJ26" s="50">
        <f>'Subscribers &amp; Revenue'!AJ64</f>
        <v>355410</v>
      </c>
      <c r="AK26" s="50">
        <f>'Subscribers &amp; Revenue'!AK64</f>
        <v>385860</v>
      </c>
      <c r="AL26" s="50">
        <f>'Subscribers &amp; Revenue'!AL64</f>
        <v>418860</v>
      </c>
      <c r="AM26" s="50">
        <f>'Subscribers &amp; Revenue'!AM64</f>
        <v>454920</v>
      </c>
      <c r="AN26" s="50">
        <f>'Subscribers &amp; Revenue'!AN64</f>
        <v>494550</v>
      </c>
      <c r="AO26" s="50">
        <f>'Subscribers &amp; Revenue'!AO64</f>
        <v>537690</v>
      </c>
      <c r="AP26" s="50">
        <f>'Subscribers &amp; Revenue'!AP64</f>
        <v>584250</v>
      </c>
      <c r="AQ26" s="50">
        <f>'Subscribers &amp; Revenue'!AQ64</f>
        <v>634830</v>
      </c>
      <c r="AR26" s="50">
        <f>'Subscribers &amp; Revenue'!AR64</f>
        <v>690420</v>
      </c>
      <c r="AS26" s="50">
        <f>'Subscribers &amp; Revenue'!AS64</f>
        <v>751020</v>
      </c>
      <c r="AT26" s="50">
        <f>'Subscribers &amp; Revenue'!AT64</f>
        <v>816630</v>
      </c>
      <c r="AU26" s="50">
        <f>'Subscribers &amp; Revenue'!AU64</f>
        <v>888690</v>
      </c>
      <c r="AV26" s="50">
        <f>'Subscribers &amp; Revenue'!AV64</f>
        <v>967290</v>
      </c>
      <c r="AW26" s="50">
        <f>'Subscribers &amp; Revenue'!AW64</f>
        <v>1052610</v>
      </c>
      <c r="AX26" s="50">
        <f>'Subscribers &amp; Revenue'!AX64</f>
        <v>1145850</v>
      </c>
      <c r="AY26" s="50">
        <f>'Subscribers &amp; Revenue'!AY64</f>
        <v>1247580</v>
      </c>
      <c r="AZ26" s="50">
        <f>'Subscribers &amp; Revenue'!AZ64</f>
        <v>1358760</v>
      </c>
      <c r="BA26" s="50">
        <f>'Subscribers &amp; Revenue'!BA64</f>
        <v>1480140</v>
      </c>
      <c r="BB26" s="50">
        <f>'Subscribers &amp; Revenue'!BB64</f>
        <v>1612500</v>
      </c>
      <c r="BC26" s="50">
        <f>'Subscribers &amp; Revenue'!BC64</f>
        <v>1756710</v>
      </c>
      <c r="BD26" s="50">
        <f>'Subscribers &amp; Revenue'!BD64</f>
        <v>1914420</v>
      </c>
      <c r="BE26" s="50">
        <f>'Subscribers &amp; Revenue'!BE64</f>
        <v>2086290</v>
      </c>
      <c r="BF26" s="50">
        <f>'Subscribers &amp; Revenue'!BF64</f>
        <v>2274480</v>
      </c>
      <c r="BG26" s="50">
        <f>'Subscribers &amp; Revenue'!BG64</f>
        <v>2479950</v>
      </c>
      <c r="BH26" s="50">
        <f>'Subscribers &amp; Revenue'!BH64</f>
        <v>2704440</v>
      </c>
      <c r="BI26" s="50">
        <f>'Subscribers &amp; Revenue'!BI64</f>
        <v>2949450</v>
      </c>
      <c r="BJ26" s="50">
        <f>'Subscribers &amp; Revenue'!BJ64</f>
        <v>3217380</v>
      </c>
      <c r="BK26" s="50">
        <f>'Subscribers &amp; Revenue'!BK64</f>
        <v>3510060</v>
      </c>
      <c r="BL26" s="50">
        <f>'Subscribers &amp; Revenue'!BL64</f>
        <v>3829860</v>
      </c>
      <c r="BM26" s="50">
        <f>'Subscribers &amp; Revenue'!BM64</f>
        <v>4179690</v>
      </c>
      <c r="BN26" s="50">
        <f>'Subscribers &amp; Revenue'!BN64</f>
        <v>4562370</v>
      </c>
    </row>
    <row r="27" spans="1:66" ht="14.4" customHeight="1" x14ac:dyDescent="0.3">
      <c r="C27" s="25" t="s">
        <v>19</v>
      </c>
      <c r="H27" s="52">
        <f>H26/G26-1</f>
        <v>0.18561151079136695</v>
      </c>
      <c r="I27" s="52">
        <f t="shared" ref="I27:AD27" si="173">I26/H26-1</f>
        <v>0.154126213592233</v>
      </c>
      <c r="J27" s="52">
        <f t="shared" si="173"/>
        <v>0.13144058885383814</v>
      </c>
      <c r="K27" s="52">
        <f t="shared" si="173"/>
        <v>0.12639405204460963</v>
      </c>
      <c r="L27" s="52">
        <f t="shared" si="173"/>
        <v>0.11303630363036299</v>
      </c>
      <c r="M27" s="52">
        <f t="shared" si="173"/>
        <v>0.10378057820607856</v>
      </c>
      <c r="N27" s="52">
        <f t="shared" si="173"/>
        <v>0.10342511752854255</v>
      </c>
      <c r="O27" s="52">
        <f t="shared" si="173"/>
        <v>9.6774193548387011E-2</v>
      </c>
      <c r="P27" s="52">
        <f t="shared" si="173"/>
        <v>9.7114317425083252E-2</v>
      </c>
      <c r="Q27" s="52">
        <f t="shared" si="173"/>
        <v>9.1552857865452753E-2</v>
      </c>
      <c r="R27" s="52">
        <f t="shared" si="173"/>
        <v>9.2215013901760789E-2</v>
      </c>
      <c r="S27" s="52">
        <f t="shared" si="173"/>
        <v>0.2566822231650403</v>
      </c>
      <c r="T27" s="52">
        <f t="shared" si="173"/>
        <v>8.5077650236326852E-2</v>
      </c>
      <c r="U27" s="52">
        <f t="shared" si="173"/>
        <v>8.5252022401991256E-2</v>
      </c>
      <c r="V27" s="52">
        <f t="shared" si="173"/>
        <v>8.5435779816513735E-2</v>
      </c>
      <c r="W27" s="52">
        <f t="shared" si="173"/>
        <v>8.5314315900686832E-2</v>
      </c>
      <c r="X27" s="52">
        <f t="shared" si="173"/>
        <v>8.2501825261620754E-2</v>
      </c>
      <c r="Y27" s="52">
        <f t="shared" si="173"/>
        <v>8.2733812949640217E-2</v>
      </c>
      <c r="Z27" s="52">
        <f t="shared" si="173"/>
        <v>8.5132890365448466E-2</v>
      </c>
      <c r="AA27" s="52">
        <f t="shared" si="173"/>
        <v>8.4577114427860645E-2</v>
      </c>
      <c r="AB27" s="52">
        <f t="shared" si="173"/>
        <v>8.6273817925194063E-2</v>
      </c>
      <c r="AC27" s="52">
        <f t="shared" si="173"/>
        <v>8.3807048887445168E-2</v>
      </c>
      <c r="AD27" s="52">
        <f t="shared" si="173"/>
        <v>8.4819421549527929E-2</v>
      </c>
      <c r="AE27" s="52">
        <f t="shared" ref="AE27" si="174">AE26/AD26-1</f>
        <v>8.5785329465395854E-2</v>
      </c>
      <c r="AF27" s="52">
        <f t="shared" ref="AF27" si="175">AF26/AE26-1</f>
        <v>8.4860050890585237E-2</v>
      </c>
      <c r="AG27" s="52">
        <f t="shared" ref="AG27" si="176">AG26/AF26-1</f>
        <v>8.5375864899730258E-2</v>
      </c>
      <c r="AH27" s="52">
        <f t="shared" ref="AH27" si="177">AH26/AG26-1</f>
        <v>8.5791464073473822E-2</v>
      </c>
      <c r="AI27" s="52">
        <f t="shared" ref="AI27" si="178">AI26/AH26-1</f>
        <v>8.577967957010646E-2</v>
      </c>
      <c r="AJ27" s="52">
        <f t="shared" ref="AJ27" si="179">AJ26/AI26-1</f>
        <v>8.5784987627165243E-2</v>
      </c>
      <c r="AK27" s="52">
        <f t="shared" ref="AK27" si="180">AK26/AJ26-1</f>
        <v>8.5675698489068974E-2</v>
      </c>
      <c r="AL27" s="52">
        <f t="shared" ref="AL27" si="181">AL26/AK26-1</f>
        <v>8.5523246773441253E-2</v>
      </c>
      <c r="AM27" s="52">
        <f t="shared" ref="AM27" si="182">AM26/AL26-1</f>
        <v>8.6090817934393327E-2</v>
      </c>
      <c r="AN27" s="52">
        <f t="shared" ref="AN27" si="183">AN26/AM26-1</f>
        <v>8.7114217884463274E-2</v>
      </c>
      <c r="AO27" s="52">
        <f t="shared" ref="AO27" si="184">AO26/AN26-1</f>
        <v>8.7230815893236224E-2</v>
      </c>
      <c r="AP27" s="52">
        <f t="shared" ref="AP27" si="185">AP26/AO26-1</f>
        <v>8.6592646320370559E-2</v>
      </c>
      <c r="AQ27" s="52">
        <f t="shared" ref="AQ27" si="186">AQ26/AP26-1</f>
        <v>8.6572528883183564E-2</v>
      </c>
      <c r="AR27" s="52">
        <f t="shared" ref="AR27" si="187">AR26/AQ26-1</f>
        <v>8.7566750153584394E-2</v>
      </c>
      <c r="AS27" s="52">
        <f t="shared" ref="AS27" si="188">AS26/AR26-1</f>
        <v>8.7772660119926904E-2</v>
      </c>
      <c r="AT27" s="52">
        <f t="shared" ref="AT27" si="189">AT26/AS26-1</f>
        <v>8.7361188783254828E-2</v>
      </c>
      <c r="AU27" s="52">
        <f t="shared" ref="AU27" si="190">AU26/AT26-1</f>
        <v>8.8240696521068251E-2</v>
      </c>
      <c r="AV27" s="52">
        <f t="shared" ref="AV27" si="191">AV26/AU26-1</f>
        <v>8.8444789521655576E-2</v>
      </c>
      <c r="AW27" s="52">
        <f t="shared" ref="AW27" si="192">AW26/AV26-1</f>
        <v>8.8205191824582085E-2</v>
      </c>
      <c r="AX27" s="52">
        <f t="shared" ref="AX27" si="193">AX26/AW26-1</f>
        <v>8.8579815886225655E-2</v>
      </c>
      <c r="AY27" s="52">
        <f t="shared" ref="AY27" si="194">AY26/AX26-1</f>
        <v>8.8781254090849693E-2</v>
      </c>
      <c r="AZ27" s="52">
        <f t="shared" ref="AZ27" si="195">AZ26/AY26-1</f>
        <v>8.9116529601308114E-2</v>
      </c>
      <c r="BA27" s="52">
        <f t="shared" ref="BA27" si="196">BA26/AZ26-1</f>
        <v>8.9331449262562979E-2</v>
      </c>
      <c r="BB27" s="52">
        <f t="shared" ref="BB27" si="197">BB26/BA26-1</f>
        <v>8.9423973407920965E-2</v>
      </c>
      <c r="BC27" s="52">
        <f t="shared" ref="BC27" si="198">BC26/BB26-1</f>
        <v>8.943255813953499E-2</v>
      </c>
      <c r="BD27" s="52">
        <f t="shared" ref="BD27" si="199">BD26/BC26-1</f>
        <v>8.9775774032139655E-2</v>
      </c>
      <c r="BE27" s="52">
        <f t="shared" ref="BE27" si="200">BE26/BD26-1</f>
        <v>8.9776538063747857E-2</v>
      </c>
      <c r="BF27" s="52">
        <f t="shared" ref="BF27" si="201">BF26/BE26-1</f>
        <v>9.0203183641775597E-2</v>
      </c>
      <c r="BG27" s="52">
        <f t="shared" ref="BG27" si="202">BG26/BF26-1</f>
        <v>9.033713200379867E-2</v>
      </c>
      <c r="BH27" s="52">
        <f t="shared" ref="BH27" si="203">BH26/BG26-1</f>
        <v>9.0521986330369675E-2</v>
      </c>
      <c r="BI27" s="52">
        <f t="shared" ref="BI27" si="204">BI26/BH26-1</f>
        <v>9.0595465234946992E-2</v>
      </c>
      <c r="BJ27" s="52">
        <f t="shared" ref="BJ27" si="205">BJ26/BI26-1</f>
        <v>9.0840665208767657E-2</v>
      </c>
      <c r="BK27" s="52">
        <f t="shared" ref="BK27" si="206">BK26/BJ26-1</f>
        <v>9.0968427726908274E-2</v>
      </c>
      <c r="BL27" s="52">
        <f t="shared" ref="BL27" si="207">BL26/BK26-1</f>
        <v>9.1109553682843014E-2</v>
      </c>
      <c r="BM27" s="52">
        <f t="shared" ref="BM27" si="208">BM26/BL26-1</f>
        <v>9.1342764487474692E-2</v>
      </c>
      <c r="BN27" s="52">
        <f t="shared" ref="BN27" si="209">BN26/BM26-1</f>
        <v>9.1557029349066621E-2</v>
      </c>
    </row>
    <row r="28" spans="1:66" ht="3" customHeight="1" x14ac:dyDescent="0.3">
      <c r="C28" s="25"/>
      <c r="H28" s="80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</row>
    <row r="29" spans="1:66" ht="14.4" customHeight="1" x14ac:dyDescent="0.3">
      <c r="C29" t="s">
        <v>143</v>
      </c>
      <c r="G29" s="50">
        <f>'Subscribers &amp; Revenue'!G76</f>
        <v>-16637.5</v>
      </c>
      <c r="H29" s="50">
        <f>'Subscribers &amp; Revenue'!H76</f>
        <v>-16335</v>
      </c>
      <c r="I29" s="50">
        <f>'Subscribers &amp; Revenue'!I76</f>
        <v>-15922.5</v>
      </c>
      <c r="J29" s="50">
        <f>'Subscribers &amp; Revenue'!J76</f>
        <v>-15400</v>
      </c>
      <c r="K29" s="50">
        <f>'Subscribers &amp; Revenue'!K76</f>
        <v>-15070</v>
      </c>
      <c r="L29" s="50">
        <f>'Subscribers &amp; Revenue'!L76</f>
        <v>-14602.5</v>
      </c>
      <c r="M29" s="50">
        <f>'Subscribers &amp; Revenue'!M76</f>
        <v>-13997.5</v>
      </c>
      <c r="N29" s="50">
        <f>'Subscribers &amp; Revenue'!N76</f>
        <v>-13557.5</v>
      </c>
      <c r="O29" s="50">
        <f>'Subscribers &amp; Revenue'!O76</f>
        <v>-12952.5</v>
      </c>
      <c r="P29" s="50">
        <f>'Subscribers &amp; Revenue'!P76</f>
        <v>-12485</v>
      </c>
      <c r="Q29" s="50">
        <f>'Subscribers &amp; Revenue'!Q76</f>
        <v>-11825</v>
      </c>
      <c r="R29" s="50">
        <f>'Subscribers &amp; Revenue'!R76</f>
        <v>-11275</v>
      </c>
      <c r="S29" s="50">
        <f>'Subscribers &amp; Revenue'!S76</f>
        <v>-22907.5</v>
      </c>
      <c r="T29" s="50">
        <f>'Subscribers &amp; Revenue'!T76</f>
        <v>-23457.5</v>
      </c>
      <c r="U29" s="50">
        <f>'Subscribers &amp; Revenue'!U76</f>
        <v>-24117.5</v>
      </c>
      <c r="V29" s="50">
        <f>'Subscribers &amp; Revenue'!V76</f>
        <v>-24860</v>
      </c>
      <c r="W29" s="50">
        <f>'Subscribers &amp; Revenue'!W76</f>
        <v>-25685</v>
      </c>
      <c r="X29" s="50">
        <f>'Subscribers &amp; Revenue'!X76</f>
        <v>-26262.5</v>
      </c>
      <c r="Y29" s="50">
        <f>'Subscribers &amp; Revenue'!Y76</f>
        <v>-26895</v>
      </c>
      <c r="Z29" s="50">
        <f>'Subscribers &amp; Revenue'!Z76</f>
        <v>-27885</v>
      </c>
      <c r="AA29" s="50">
        <f>'Subscribers &amp; Revenue'!AA76</f>
        <v>-28875</v>
      </c>
      <c r="AB29" s="50">
        <f>'Subscribers &amp; Revenue'!AB76</f>
        <v>-30167.5</v>
      </c>
      <c r="AC29" s="50">
        <f>'Subscribers &amp; Revenue'!AC76</f>
        <v>-31102.5</v>
      </c>
      <c r="AD29" s="50">
        <f>'Subscribers &amp; Revenue'!AD76</f>
        <v>-32312.5</v>
      </c>
      <c r="AE29" s="50">
        <f>'Subscribers &amp; Revenue'!AE76</f>
        <v>-34732.5</v>
      </c>
      <c r="AF29" s="50">
        <f>'Subscribers &amp; Revenue'!AF76</f>
        <v>-37097.5</v>
      </c>
      <c r="AG29" s="50">
        <f>'Subscribers &amp; Revenue'!AG76</f>
        <v>-39710</v>
      </c>
      <c r="AH29" s="50">
        <f>'Subscribers &amp; Revenue'!AH76</f>
        <v>-42542.5</v>
      </c>
      <c r="AI29" s="50">
        <f>'Subscribers &amp; Revenue'!AI76</f>
        <v>-45567.5</v>
      </c>
      <c r="AJ29" s="50">
        <f>'Subscribers &amp; Revenue'!AJ76</f>
        <v>-48730</v>
      </c>
      <c r="AK29" s="50">
        <f>'Subscribers &amp; Revenue'!AK76</f>
        <v>-52002.5</v>
      </c>
      <c r="AL29" s="50">
        <f>'Subscribers &amp; Revenue'!AL76</f>
        <v>-55385</v>
      </c>
      <c r="AM29" s="50">
        <f>'Subscribers &amp; Revenue'!AM76</f>
        <v>-59152.5</v>
      </c>
      <c r="AN29" s="50">
        <f>'Subscribers &amp; Revenue'!AN76</f>
        <v>-63580</v>
      </c>
      <c r="AO29" s="50">
        <f>'Subscribers &amp; Revenue'!AO76</f>
        <v>-68255</v>
      </c>
      <c r="AP29" s="50">
        <f>'Subscribers &amp; Revenue'!AP76</f>
        <v>-72847.5</v>
      </c>
      <c r="AQ29" s="50">
        <f>'Subscribers &amp; Revenue'!AQ76</f>
        <v>-77660</v>
      </c>
      <c r="AR29" s="50">
        <f>'Subscribers &amp; Revenue'!AR76</f>
        <v>-83242.5</v>
      </c>
      <c r="AS29" s="50">
        <f>'Subscribers &amp; Revenue'!AS76</f>
        <v>-89210</v>
      </c>
      <c r="AT29" s="50">
        <f>'Subscribers &amp; Revenue'!AT76</f>
        <v>-95205</v>
      </c>
      <c r="AU29" s="50">
        <f>'Subscribers &amp; Revenue'!AU76</f>
        <v>-102107.5</v>
      </c>
      <c r="AV29" s="50">
        <f>'Subscribers &amp; Revenue'!AV76</f>
        <v>-109505</v>
      </c>
      <c r="AW29" s="50">
        <f>'Subscribers &amp; Revenue'!AW76</f>
        <v>-117012.5</v>
      </c>
      <c r="AX29" s="50">
        <f>'Subscribers &amp; Revenue'!AX76</f>
        <v>-125180</v>
      </c>
      <c r="AY29" s="50">
        <f>'Subscribers &amp; Revenue'!AY76</f>
        <v>-133925</v>
      </c>
      <c r="AZ29" s="50">
        <f>'Subscribers &amp; Revenue'!AZ76</f>
        <v>-143495</v>
      </c>
      <c r="BA29" s="50">
        <f>'Subscribers &amp; Revenue'!BA76</f>
        <v>-153780</v>
      </c>
      <c r="BB29" s="50">
        <f>'Subscribers &amp; Revenue'!BB76</f>
        <v>-164642.5</v>
      </c>
      <c r="BC29" s="50">
        <f>'Subscribers &amp; Revenue'!BC76</f>
        <v>-175972.5</v>
      </c>
      <c r="BD29" s="50">
        <f>'Subscribers &amp; Revenue'!BD76</f>
        <v>-188320</v>
      </c>
      <c r="BE29" s="50">
        <f>'Subscribers &amp; Revenue'!BE76</f>
        <v>-201245</v>
      </c>
      <c r="BF29" s="50">
        <f>'Subscribers &amp; Revenue'!BF76</f>
        <v>-215517.5</v>
      </c>
      <c r="BG29" s="50">
        <f>'Subscribers &amp; Revenue'!BG76</f>
        <v>-230697.5</v>
      </c>
      <c r="BH29" s="50">
        <f>'Subscribers &amp; Revenue'!BH76</f>
        <v>-246950</v>
      </c>
      <c r="BI29" s="50">
        <f>'Subscribers &amp; Revenue'!BI76</f>
        <v>-264082.5</v>
      </c>
      <c r="BJ29" s="50">
        <f>'Subscribers &amp; Revenue'!BJ76</f>
        <v>-282562.5</v>
      </c>
      <c r="BK29" s="50">
        <f>'Subscribers &amp; Revenue'!BK76</f>
        <v>-302197.5</v>
      </c>
      <c r="BL29" s="50">
        <f>'Subscribers &amp; Revenue'!BL76</f>
        <v>-323125</v>
      </c>
      <c r="BM29" s="50">
        <f>'Subscribers &amp; Revenue'!BM76</f>
        <v>-345757.5</v>
      </c>
      <c r="BN29" s="50">
        <f>'Subscribers &amp; Revenue'!BN76</f>
        <v>-370150</v>
      </c>
    </row>
    <row r="30" spans="1:66" ht="14.4" customHeight="1" x14ac:dyDescent="0.3"/>
    <row r="31" spans="1:66" ht="14.4" customHeight="1" x14ac:dyDescent="0.3">
      <c r="A31" s="22" t="s">
        <v>0</v>
      </c>
      <c r="B31" s="22" t="s">
        <v>0</v>
      </c>
      <c r="C31" s="53" t="s">
        <v>50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</row>
    <row r="32" spans="1:66" ht="14.4" customHeight="1" x14ac:dyDescent="0.3"/>
    <row r="33" spans="1:66" ht="14.4" customHeight="1" x14ac:dyDescent="0.3">
      <c r="A33" s="22"/>
      <c r="B33" s="22" t="s">
        <v>0</v>
      </c>
      <c r="C33" s="4" t="s">
        <v>41</v>
      </c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</row>
    <row r="34" spans="1:66" ht="3" customHeight="1" x14ac:dyDescent="0.3">
      <c r="B34" s="1"/>
      <c r="C34" s="4"/>
    </row>
    <row r="35" spans="1:66" ht="14.4" customHeight="1" x14ac:dyDescent="0.3">
      <c r="B35" s="16"/>
      <c r="C35" t="s">
        <v>49</v>
      </c>
      <c r="G35" s="50">
        <f>'Subscribers &amp; Revenue'!G70</f>
        <v>4212.5</v>
      </c>
      <c r="H35" s="50">
        <f>'Subscribers &amp; Revenue'!H70</f>
        <v>8385</v>
      </c>
      <c r="I35" s="50">
        <f>'Subscribers &amp; Revenue'!I70</f>
        <v>12607.5</v>
      </c>
      <c r="J35" s="50">
        <f>'Subscribers &amp; Revenue'!J70</f>
        <v>16880</v>
      </c>
      <c r="K35" s="50">
        <f>'Subscribers &amp; Revenue'!K70</f>
        <v>21290</v>
      </c>
      <c r="L35" s="50">
        <f>'Subscribers &amp; Revenue'!L70</f>
        <v>25867.5</v>
      </c>
      <c r="M35" s="50">
        <f>'Subscribers &amp; Revenue'!M70</f>
        <v>30672.5</v>
      </c>
      <c r="N35" s="50">
        <f>'Subscribers &amp; Revenue'!N70</f>
        <v>35732.5</v>
      </c>
      <c r="O35" s="50">
        <f>'Subscribers &amp; Revenue'!O70</f>
        <v>41107.5</v>
      </c>
      <c r="P35" s="50">
        <f>'Subscribers &amp; Revenue'!P70</f>
        <v>46825</v>
      </c>
      <c r="Q35" s="50">
        <f>'Subscribers &amp; Revenue'!Q70</f>
        <v>52915</v>
      </c>
      <c r="R35" s="50">
        <f>'Subscribers &amp; Revenue'!R70</f>
        <v>59435</v>
      </c>
      <c r="S35" s="50">
        <f>'Subscribers &amp; Revenue'!S70</f>
        <v>65952.5</v>
      </c>
      <c r="T35" s="50">
        <f>'Subscribers &amp; Revenue'!T70</f>
        <v>72962.5</v>
      </c>
      <c r="U35" s="50">
        <f>'Subscribers &amp; Revenue'!U70</f>
        <v>80522.5</v>
      </c>
      <c r="V35" s="50">
        <f>'Subscribers &amp; Revenue'!V70</f>
        <v>88720</v>
      </c>
      <c r="W35" s="50">
        <f>'Subscribers &amp; Revenue'!W70</f>
        <v>97585</v>
      </c>
      <c r="X35" s="50">
        <f>'Subscribers &amp; Revenue'!X70</f>
        <v>107177.5</v>
      </c>
      <c r="Y35" s="50">
        <f>'Subscribers &amp; Revenue'!Y70</f>
        <v>117585</v>
      </c>
      <c r="Z35" s="50">
        <f>'Subscribers &amp; Revenue'!Z70</f>
        <v>128895</v>
      </c>
      <c r="AA35" s="50">
        <f>'Subscribers &amp; Revenue'!AA70</f>
        <v>141165</v>
      </c>
      <c r="AB35" s="50">
        <f>'Subscribers &amp; Revenue'!AB70</f>
        <v>154542.5</v>
      </c>
      <c r="AC35" s="50">
        <f>'Subscribers &amp; Revenue'!AC70</f>
        <v>169087.5</v>
      </c>
      <c r="AD35" s="50">
        <f>'Subscribers &amp; Revenue'!AD70</f>
        <v>184857.5</v>
      </c>
      <c r="AE35" s="50">
        <f>'Subscribers &amp; Revenue'!AE70</f>
        <v>201067.5</v>
      </c>
      <c r="AF35" s="50">
        <f>'Subscribers &amp; Revenue'!AF70</f>
        <v>218712.5</v>
      </c>
      <c r="AG35" s="50">
        <f>'Subscribers &amp; Revenue'!AG70</f>
        <v>237940</v>
      </c>
      <c r="AH35" s="50">
        <f>'Subscribers &amp; Revenue'!AH70</f>
        <v>258927.5</v>
      </c>
      <c r="AI35" s="50">
        <f>'Subscribers &amp; Revenue'!AI70</f>
        <v>281762.5</v>
      </c>
      <c r="AJ35" s="50">
        <f>'Subscribers &amp; Revenue'!AJ70</f>
        <v>306680</v>
      </c>
      <c r="AK35" s="50">
        <f>'Subscribers &amp; Revenue'!AK70</f>
        <v>333857.5</v>
      </c>
      <c r="AL35" s="50">
        <f>'Subscribers &amp; Revenue'!AL70</f>
        <v>363475</v>
      </c>
      <c r="AM35" s="50">
        <f>'Subscribers &amp; Revenue'!AM70</f>
        <v>395767.5</v>
      </c>
      <c r="AN35" s="50">
        <f>'Subscribers &amp; Revenue'!AN70</f>
        <v>430970</v>
      </c>
      <c r="AO35" s="50">
        <f>'Subscribers &amp; Revenue'!AO70</f>
        <v>469435</v>
      </c>
      <c r="AP35" s="50">
        <f>'Subscribers &amp; Revenue'!AP70</f>
        <v>511402.5</v>
      </c>
      <c r="AQ35" s="50">
        <f>'Subscribers &amp; Revenue'!AQ70</f>
        <v>557170</v>
      </c>
      <c r="AR35" s="50">
        <f>'Subscribers &amp; Revenue'!AR70</f>
        <v>607177.5</v>
      </c>
      <c r="AS35" s="50">
        <f>'Subscribers &amp; Revenue'!AS70</f>
        <v>661810</v>
      </c>
      <c r="AT35" s="50">
        <f>'Subscribers &amp; Revenue'!AT70</f>
        <v>721425</v>
      </c>
      <c r="AU35" s="50">
        <f>'Subscribers &amp; Revenue'!AU70</f>
        <v>786582.5</v>
      </c>
      <c r="AV35" s="50">
        <f>'Subscribers &amp; Revenue'!AV70</f>
        <v>857785</v>
      </c>
      <c r="AW35" s="50">
        <f>'Subscribers &amp; Revenue'!AW70</f>
        <v>935597.5</v>
      </c>
      <c r="AX35" s="50">
        <f>'Subscribers &amp; Revenue'!AX70</f>
        <v>1020670</v>
      </c>
      <c r="AY35" s="50">
        <f>'Subscribers &amp; Revenue'!AY70</f>
        <v>1113655</v>
      </c>
      <c r="AZ35" s="50">
        <f>'Subscribers &amp; Revenue'!AZ70</f>
        <v>1215265</v>
      </c>
      <c r="BA35" s="50">
        <f>'Subscribers &amp; Revenue'!BA70</f>
        <v>1326360</v>
      </c>
      <c r="BB35" s="50">
        <f>'Subscribers &amp; Revenue'!BB70</f>
        <v>1447857.5</v>
      </c>
      <c r="BC35" s="50">
        <f>'Subscribers &amp; Revenue'!BC70</f>
        <v>1580737.5</v>
      </c>
      <c r="BD35" s="50">
        <f>'Subscribers &amp; Revenue'!BD70</f>
        <v>1726100</v>
      </c>
      <c r="BE35" s="50">
        <f>'Subscribers &amp; Revenue'!BE70</f>
        <v>1885045</v>
      </c>
      <c r="BF35" s="50">
        <f>'Subscribers &amp; Revenue'!BF70</f>
        <v>2058962.5</v>
      </c>
      <c r="BG35" s="50">
        <f>'Subscribers &amp; Revenue'!BG70</f>
        <v>2249252.5</v>
      </c>
      <c r="BH35" s="50">
        <f>'Subscribers &amp; Revenue'!BH70</f>
        <v>2457490</v>
      </c>
      <c r="BI35" s="50">
        <f>'Subscribers &amp; Revenue'!BI70</f>
        <v>2685367.5</v>
      </c>
      <c r="BJ35" s="50">
        <f>'Subscribers &amp; Revenue'!BJ70</f>
        <v>2934817.5</v>
      </c>
      <c r="BK35" s="50">
        <f>'Subscribers &amp; Revenue'!BK70</f>
        <v>3207862.5</v>
      </c>
      <c r="BL35" s="50">
        <f>'Subscribers &amp; Revenue'!BL70</f>
        <v>3506735</v>
      </c>
      <c r="BM35" s="50">
        <f>'Subscribers &amp; Revenue'!BM70</f>
        <v>3833932.5</v>
      </c>
      <c r="BN35" s="50">
        <f>'Subscribers &amp; Revenue'!BN70</f>
        <v>4192220</v>
      </c>
    </row>
    <row r="36" spans="1:66" x14ac:dyDescent="0.3">
      <c r="C36" s="25" t="s">
        <v>19</v>
      </c>
      <c r="H36" s="52">
        <f>H35/G35-1</f>
        <v>0.99050445103857565</v>
      </c>
      <c r="I36" s="52">
        <f t="shared" ref="I36:AD36" si="210">I35/H35-1</f>
        <v>0.50357781753130593</v>
      </c>
      <c r="J36" s="52">
        <f t="shared" si="210"/>
        <v>0.33888558397779089</v>
      </c>
      <c r="K36" s="52">
        <f t="shared" si="210"/>
        <v>0.26125592417061605</v>
      </c>
      <c r="L36" s="52">
        <f t="shared" si="210"/>
        <v>0.21500704556129646</v>
      </c>
      <c r="M36" s="52">
        <f t="shared" si="210"/>
        <v>0.18575432492509902</v>
      </c>
      <c r="N36" s="52">
        <f t="shared" si="210"/>
        <v>0.16496862009943758</v>
      </c>
      <c r="O36" s="52">
        <f t="shared" si="210"/>
        <v>0.15042328412509609</v>
      </c>
      <c r="P36" s="52">
        <f t="shared" si="210"/>
        <v>0.13908654138539189</v>
      </c>
      <c r="Q36" s="52">
        <f t="shared" si="210"/>
        <v>0.13005872931126539</v>
      </c>
      <c r="R36" s="52">
        <f t="shared" si="210"/>
        <v>0.12321647925918922</v>
      </c>
      <c r="S36" s="52">
        <f t="shared" si="210"/>
        <v>0.10965760915285605</v>
      </c>
      <c r="T36" s="52">
        <f t="shared" si="210"/>
        <v>0.10628861680755097</v>
      </c>
      <c r="U36" s="52">
        <f t="shared" si="210"/>
        <v>0.10361487065273267</v>
      </c>
      <c r="V36" s="52">
        <f t="shared" si="210"/>
        <v>0.10180384364618589</v>
      </c>
      <c r="W36" s="52">
        <f t="shared" si="210"/>
        <v>9.9921100090171411E-2</v>
      </c>
      <c r="X36" s="52">
        <f t="shared" si="210"/>
        <v>9.8298918891223108E-2</v>
      </c>
      <c r="Y36" s="52">
        <f t="shared" si="210"/>
        <v>9.7105269296260843E-2</v>
      </c>
      <c r="Z36" s="52">
        <f t="shared" si="210"/>
        <v>9.6185737976782759E-2</v>
      </c>
      <c r="AA36" s="52">
        <f t="shared" si="210"/>
        <v>9.519376236471544E-2</v>
      </c>
      <c r="AB36" s="52">
        <f t="shared" si="210"/>
        <v>9.47649913222115E-2</v>
      </c>
      <c r="AC36" s="52">
        <f t="shared" si="210"/>
        <v>9.4116505168481135E-2</v>
      </c>
      <c r="AD36" s="52">
        <f t="shared" si="210"/>
        <v>9.3265321209432983E-2</v>
      </c>
      <c r="AE36" s="52">
        <f t="shared" ref="AE36" si="211">AE35/AD35-1</f>
        <v>8.768916597920029E-2</v>
      </c>
      <c r="AF36" s="52">
        <f t="shared" ref="AF36" si="212">AF35/AE35-1</f>
        <v>8.775659915202616E-2</v>
      </c>
      <c r="AG36" s="52">
        <f t="shared" ref="AG36" si="213">AG35/AF35-1</f>
        <v>8.7912213522318039E-2</v>
      </c>
      <c r="AH36" s="52">
        <f t="shared" ref="AH36" si="214">AH35/AG35-1</f>
        <v>8.8205009666302514E-2</v>
      </c>
      <c r="AI36" s="52">
        <f t="shared" ref="AI36" si="215">AI35/AH35-1</f>
        <v>8.8190709754661034E-2</v>
      </c>
      <c r="AJ36" s="52">
        <f t="shared" ref="AJ36" si="216">AJ35/AI35-1</f>
        <v>8.8434408411339316E-2</v>
      </c>
      <c r="AK36" s="52">
        <f t="shared" ref="AK36" si="217">AK35/AJ35-1</f>
        <v>8.86184296334942E-2</v>
      </c>
      <c r="AL36" s="52">
        <f t="shared" ref="AL36" si="218">AL35/AK35-1</f>
        <v>8.8712998809372223E-2</v>
      </c>
      <c r="AM36" s="52">
        <f t="shared" ref="AM36" si="219">AM35/AL35-1</f>
        <v>8.8843799435999626E-2</v>
      </c>
      <c r="AN36" s="52">
        <f t="shared" ref="AN36" si="220">AN35/AM35-1</f>
        <v>8.8947424940147846E-2</v>
      </c>
      <c r="AO36" s="52">
        <f t="shared" ref="AO36" si="221">AO35/AN35-1</f>
        <v>8.9252152121957362E-2</v>
      </c>
      <c r="AP36" s="52">
        <f t="shared" ref="AP36" si="222">AP35/AO35-1</f>
        <v>8.9400023432424147E-2</v>
      </c>
      <c r="AQ36" s="52">
        <f t="shared" ref="AQ36" si="223">AQ35/AP35-1</f>
        <v>8.949408733825126E-2</v>
      </c>
      <c r="AR36" s="52">
        <f t="shared" ref="AR36" si="224">AR35/AQ35-1</f>
        <v>8.9752678715652401E-2</v>
      </c>
      <c r="AS36" s="52">
        <f t="shared" ref="AS36" si="225">AS35/AR35-1</f>
        <v>8.9977807148651001E-2</v>
      </c>
      <c r="AT36" s="52">
        <f t="shared" ref="AT36" si="226">AT35/AS35-1</f>
        <v>9.0078723500702562E-2</v>
      </c>
      <c r="AU36" s="52">
        <f t="shared" ref="AU36" si="227">AU35/AT35-1</f>
        <v>9.0317773850365546E-2</v>
      </c>
      <c r="AV36" s="52">
        <f t="shared" ref="AV36" si="228">AV35/AU35-1</f>
        <v>9.0521337558361559E-2</v>
      </c>
      <c r="AW36" s="52">
        <f t="shared" ref="AW36" si="229">AW35/AV35-1</f>
        <v>9.0713290626438958E-2</v>
      </c>
      <c r="AX36" s="52">
        <f t="shared" ref="AX36" si="230">AX35/AW35-1</f>
        <v>9.0928524285282863E-2</v>
      </c>
      <c r="AY36" s="52">
        <f t="shared" ref="AY36" si="231">AY35/AX35-1</f>
        <v>9.1101923246494909E-2</v>
      </c>
      <c r="AZ36" s="52">
        <f t="shared" ref="AZ36" si="232">AZ35/AY35-1</f>
        <v>9.1240105777821601E-2</v>
      </c>
      <c r="BA36" s="52">
        <f t="shared" ref="BA36" si="233">BA35/AZ35-1</f>
        <v>9.1416275462553376E-2</v>
      </c>
      <c r="BB36" s="52">
        <f t="shared" ref="BB36" si="234">BB35/BA35-1</f>
        <v>9.1602204529690257E-2</v>
      </c>
      <c r="BC36" s="52">
        <f t="shared" ref="BC36" si="235">BC35/BB35-1</f>
        <v>9.1776987721512659E-2</v>
      </c>
      <c r="BD36" s="52">
        <f t="shared" ref="BD36" si="236">BD35/BC35-1</f>
        <v>9.1958658537549809E-2</v>
      </c>
      <c r="BE36" s="52">
        <f t="shared" ref="BE36" si="237">BE35/BD35-1</f>
        <v>9.2083309194137097E-2</v>
      </c>
      <c r="BF36" s="52">
        <f t="shared" ref="BF36" si="238">BF35/BE35-1</f>
        <v>9.2261723194936973E-2</v>
      </c>
      <c r="BG36" s="52">
        <f t="shared" ref="BG36" si="239">BG35/BF35-1</f>
        <v>9.2420333056090209E-2</v>
      </c>
      <c r="BH36" s="52">
        <f t="shared" ref="BH36" si="240">BH35/BG35-1</f>
        <v>9.2580757384953527E-2</v>
      </c>
      <c r="BI36" s="52">
        <f t="shared" ref="BI36" si="241">BI35/BH35-1</f>
        <v>9.2727742534048918E-2</v>
      </c>
      <c r="BJ36" s="52">
        <f t="shared" ref="BJ36" si="242">BJ35/BI35-1</f>
        <v>9.2892313621878664E-2</v>
      </c>
      <c r="BK36" s="52">
        <f t="shared" ref="BK36" si="243">BK35/BJ35-1</f>
        <v>9.3036449455545345E-2</v>
      </c>
      <c r="BL36" s="52">
        <f t="shared" ref="BL36" si="244">BL35/BK35-1</f>
        <v>9.3168737749825592E-2</v>
      </c>
      <c r="BM36" s="52">
        <f t="shared" ref="BM36" si="245">BM35/BL35-1</f>
        <v>9.3305453648479197E-2</v>
      </c>
      <c r="BN36" s="52">
        <f t="shared" ref="BN36" si="246">BN35/BM35-1</f>
        <v>9.3451697441204296E-2</v>
      </c>
    </row>
    <row r="37" spans="1:66" x14ac:dyDescent="0.3">
      <c r="C37" s="25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</row>
    <row r="38" spans="1:66" x14ac:dyDescent="0.3">
      <c r="A38" s="22"/>
      <c r="B38" s="22" t="s">
        <v>0</v>
      </c>
      <c r="C38" s="4" t="s">
        <v>51</v>
      </c>
      <c r="E38" s="63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</row>
    <row r="39" spans="1:66" ht="3" customHeight="1" x14ac:dyDescent="0.3">
      <c r="C39" s="25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</row>
    <row r="40" spans="1:66" ht="14.4" customHeight="1" x14ac:dyDescent="0.3">
      <c r="C40" t="s">
        <v>203</v>
      </c>
      <c r="G40" s="34">
        <f>-G$35*G41</f>
        <v>-674</v>
      </c>
      <c r="H40" s="34">
        <f t="shared" ref="H40:BN40" si="247">-H$35*H41</f>
        <v>-1341.6000000000001</v>
      </c>
      <c r="I40" s="34">
        <f t="shared" si="247"/>
        <v>-2017.2</v>
      </c>
      <c r="J40" s="34">
        <f t="shared" si="247"/>
        <v>-2700.8</v>
      </c>
      <c r="K40" s="34">
        <f t="shared" si="247"/>
        <v>-3406.4</v>
      </c>
      <c r="L40" s="34">
        <f t="shared" si="247"/>
        <v>-4138.8</v>
      </c>
      <c r="M40" s="34">
        <f t="shared" si="247"/>
        <v>-4907.6000000000004</v>
      </c>
      <c r="N40" s="34">
        <f t="shared" si="247"/>
        <v>-5717.2</v>
      </c>
      <c r="O40" s="34">
        <f t="shared" si="247"/>
        <v>-6577.2</v>
      </c>
      <c r="P40" s="34">
        <f t="shared" si="247"/>
        <v>-7492</v>
      </c>
      <c r="Q40" s="34">
        <f t="shared" si="247"/>
        <v>-8466.4</v>
      </c>
      <c r="R40" s="34">
        <f t="shared" si="247"/>
        <v>-9509.6</v>
      </c>
      <c r="S40" s="34">
        <f t="shared" si="247"/>
        <v>-10222.637500000001</v>
      </c>
      <c r="T40" s="34">
        <f t="shared" si="247"/>
        <v>-11309.1875</v>
      </c>
      <c r="U40" s="34">
        <f t="shared" si="247"/>
        <v>-12480.987499999999</v>
      </c>
      <c r="V40" s="34">
        <f t="shared" si="247"/>
        <v>-13751.6</v>
      </c>
      <c r="W40" s="34">
        <f t="shared" si="247"/>
        <v>-15125.674999999999</v>
      </c>
      <c r="X40" s="34">
        <f t="shared" si="247"/>
        <v>-16612.512500000001</v>
      </c>
      <c r="Y40" s="34">
        <f t="shared" si="247"/>
        <v>-18225.674999999999</v>
      </c>
      <c r="Z40" s="34">
        <f t="shared" si="247"/>
        <v>-19978.724999999999</v>
      </c>
      <c r="AA40" s="34">
        <f t="shared" si="247"/>
        <v>-21880.575000000001</v>
      </c>
      <c r="AB40" s="34">
        <f t="shared" si="247"/>
        <v>-23954.087500000001</v>
      </c>
      <c r="AC40" s="34">
        <f t="shared" si="247"/>
        <v>-26208.5625</v>
      </c>
      <c r="AD40" s="34">
        <f t="shared" si="247"/>
        <v>-28652.912499999999</v>
      </c>
      <c r="AE40" s="34">
        <f t="shared" si="247"/>
        <v>-30160.125</v>
      </c>
      <c r="AF40" s="34">
        <f t="shared" si="247"/>
        <v>-32806.875</v>
      </c>
      <c r="AG40" s="34">
        <f t="shared" si="247"/>
        <v>-35691</v>
      </c>
      <c r="AH40" s="34">
        <f t="shared" si="247"/>
        <v>-38839.125</v>
      </c>
      <c r="AI40" s="34">
        <f t="shared" si="247"/>
        <v>-42264.375</v>
      </c>
      <c r="AJ40" s="34">
        <f t="shared" si="247"/>
        <v>-46002</v>
      </c>
      <c r="AK40" s="34">
        <f t="shared" si="247"/>
        <v>-50078.625</v>
      </c>
      <c r="AL40" s="34">
        <f t="shared" si="247"/>
        <v>-54521.25</v>
      </c>
      <c r="AM40" s="34">
        <f t="shared" si="247"/>
        <v>-59365.125</v>
      </c>
      <c r="AN40" s="34">
        <f t="shared" si="247"/>
        <v>-64645.5</v>
      </c>
      <c r="AO40" s="34">
        <f t="shared" si="247"/>
        <v>-70415.25</v>
      </c>
      <c r="AP40" s="34">
        <f t="shared" si="247"/>
        <v>-76710.375</v>
      </c>
      <c r="AQ40" s="34">
        <f t="shared" si="247"/>
        <v>-80789.649999999994</v>
      </c>
      <c r="AR40" s="34">
        <f t="shared" si="247"/>
        <v>-88040.737499999988</v>
      </c>
      <c r="AS40" s="34">
        <f t="shared" si="247"/>
        <v>-95962.45</v>
      </c>
      <c r="AT40" s="34">
        <f t="shared" si="247"/>
        <v>-104606.625</v>
      </c>
      <c r="AU40" s="34">
        <f t="shared" si="247"/>
        <v>-114054.46249999999</v>
      </c>
      <c r="AV40" s="34">
        <f t="shared" si="247"/>
        <v>-124378.825</v>
      </c>
      <c r="AW40" s="34">
        <f t="shared" si="247"/>
        <v>-135661.63749999998</v>
      </c>
      <c r="AX40" s="34">
        <f t="shared" si="247"/>
        <v>-147997.15</v>
      </c>
      <c r="AY40" s="34">
        <f t="shared" si="247"/>
        <v>-161479.97499999998</v>
      </c>
      <c r="AZ40" s="34">
        <f t="shared" si="247"/>
        <v>-176213.42499999999</v>
      </c>
      <c r="BA40" s="34">
        <f t="shared" si="247"/>
        <v>-192322.19999999998</v>
      </c>
      <c r="BB40" s="34">
        <f t="shared" si="247"/>
        <v>-209939.33749999999</v>
      </c>
      <c r="BC40" s="34">
        <f t="shared" si="247"/>
        <v>-221303.24999999997</v>
      </c>
      <c r="BD40" s="34">
        <f t="shared" si="247"/>
        <v>-241653.99999999997</v>
      </c>
      <c r="BE40" s="34">
        <f t="shared" si="247"/>
        <v>-263906.3</v>
      </c>
      <c r="BF40" s="34">
        <f t="shared" si="247"/>
        <v>-288254.74999999994</v>
      </c>
      <c r="BG40" s="34">
        <f t="shared" si="247"/>
        <v>-314895.34999999998</v>
      </c>
      <c r="BH40" s="34">
        <f t="shared" si="247"/>
        <v>-344048.6</v>
      </c>
      <c r="BI40" s="34">
        <f t="shared" si="247"/>
        <v>-375951.44999999995</v>
      </c>
      <c r="BJ40" s="34">
        <f t="shared" si="247"/>
        <v>-410874.44999999995</v>
      </c>
      <c r="BK40" s="34">
        <f t="shared" si="247"/>
        <v>-449100.74999999994</v>
      </c>
      <c r="BL40" s="34">
        <f t="shared" si="247"/>
        <v>-490942.89999999997</v>
      </c>
      <c r="BM40" s="34">
        <f t="shared" si="247"/>
        <v>-536750.54999999993</v>
      </c>
      <c r="BN40" s="34">
        <f t="shared" si="247"/>
        <v>-586910.79999999993</v>
      </c>
    </row>
    <row r="41" spans="1:66" ht="14.4" customHeight="1" x14ac:dyDescent="0.3">
      <c r="C41" s="25" t="s">
        <v>55</v>
      </c>
      <c r="E41" s="68">
        <f>Assumptions!$E$23</f>
        <v>0.16</v>
      </c>
      <c r="F41" s="74">
        <f>Assumptions!$E$24</f>
        <v>-5.0000000000000001E-3</v>
      </c>
      <c r="G41" s="75">
        <f>E41</f>
        <v>0.16</v>
      </c>
      <c r="H41" s="75">
        <f t="shared" ref="H41:AM41" si="248">G41+$F41*IF(MONTH(H6)=1, 1, 0)</f>
        <v>0.16</v>
      </c>
      <c r="I41" s="75">
        <f t="shared" si="248"/>
        <v>0.16</v>
      </c>
      <c r="J41" s="75">
        <f t="shared" si="248"/>
        <v>0.16</v>
      </c>
      <c r="K41" s="75">
        <f t="shared" si="248"/>
        <v>0.16</v>
      </c>
      <c r="L41" s="75">
        <f t="shared" si="248"/>
        <v>0.16</v>
      </c>
      <c r="M41" s="75">
        <f t="shared" si="248"/>
        <v>0.16</v>
      </c>
      <c r="N41" s="75">
        <f t="shared" si="248"/>
        <v>0.16</v>
      </c>
      <c r="O41" s="75">
        <f t="shared" si="248"/>
        <v>0.16</v>
      </c>
      <c r="P41" s="75">
        <f t="shared" si="248"/>
        <v>0.16</v>
      </c>
      <c r="Q41" s="75">
        <f t="shared" si="248"/>
        <v>0.16</v>
      </c>
      <c r="R41" s="75">
        <f t="shared" si="248"/>
        <v>0.16</v>
      </c>
      <c r="S41" s="75">
        <f t="shared" si="248"/>
        <v>0.155</v>
      </c>
      <c r="T41" s="75">
        <f t="shared" si="248"/>
        <v>0.155</v>
      </c>
      <c r="U41" s="75">
        <f t="shared" si="248"/>
        <v>0.155</v>
      </c>
      <c r="V41" s="75">
        <f t="shared" si="248"/>
        <v>0.155</v>
      </c>
      <c r="W41" s="75">
        <f t="shared" si="248"/>
        <v>0.155</v>
      </c>
      <c r="X41" s="75">
        <f t="shared" si="248"/>
        <v>0.155</v>
      </c>
      <c r="Y41" s="75">
        <f t="shared" si="248"/>
        <v>0.155</v>
      </c>
      <c r="Z41" s="75">
        <f t="shared" si="248"/>
        <v>0.155</v>
      </c>
      <c r="AA41" s="75">
        <f t="shared" si="248"/>
        <v>0.155</v>
      </c>
      <c r="AB41" s="75">
        <f t="shared" si="248"/>
        <v>0.155</v>
      </c>
      <c r="AC41" s="75">
        <f t="shared" si="248"/>
        <v>0.155</v>
      </c>
      <c r="AD41" s="75">
        <f t="shared" si="248"/>
        <v>0.155</v>
      </c>
      <c r="AE41" s="75">
        <f t="shared" si="248"/>
        <v>0.15</v>
      </c>
      <c r="AF41" s="75">
        <f t="shared" si="248"/>
        <v>0.15</v>
      </c>
      <c r="AG41" s="75">
        <f t="shared" si="248"/>
        <v>0.15</v>
      </c>
      <c r="AH41" s="75">
        <f t="shared" si="248"/>
        <v>0.15</v>
      </c>
      <c r="AI41" s="75">
        <f t="shared" si="248"/>
        <v>0.15</v>
      </c>
      <c r="AJ41" s="75">
        <f t="shared" si="248"/>
        <v>0.15</v>
      </c>
      <c r="AK41" s="75">
        <f t="shared" si="248"/>
        <v>0.15</v>
      </c>
      <c r="AL41" s="75">
        <f t="shared" si="248"/>
        <v>0.15</v>
      </c>
      <c r="AM41" s="75">
        <f t="shared" si="248"/>
        <v>0.15</v>
      </c>
      <c r="AN41" s="75">
        <f t="shared" ref="AN41:BN41" si="249">AM41+$F41*IF(MONTH(AN6)=1, 1, 0)</f>
        <v>0.15</v>
      </c>
      <c r="AO41" s="75">
        <f t="shared" si="249"/>
        <v>0.15</v>
      </c>
      <c r="AP41" s="75">
        <f t="shared" si="249"/>
        <v>0.15</v>
      </c>
      <c r="AQ41" s="75">
        <f t="shared" si="249"/>
        <v>0.14499999999999999</v>
      </c>
      <c r="AR41" s="75">
        <f t="shared" si="249"/>
        <v>0.14499999999999999</v>
      </c>
      <c r="AS41" s="75">
        <f t="shared" si="249"/>
        <v>0.14499999999999999</v>
      </c>
      <c r="AT41" s="75">
        <f t="shared" si="249"/>
        <v>0.14499999999999999</v>
      </c>
      <c r="AU41" s="75">
        <f t="shared" si="249"/>
        <v>0.14499999999999999</v>
      </c>
      <c r="AV41" s="75">
        <f t="shared" si="249"/>
        <v>0.14499999999999999</v>
      </c>
      <c r="AW41" s="75">
        <f t="shared" si="249"/>
        <v>0.14499999999999999</v>
      </c>
      <c r="AX41" s="75">
        <f t="shared" si="249"/>
        <v>0.14499999999999999</v>
      </c>
      <c r="AY41" s="75">
        <f t="shared" si="249"/>
        <v>0.14499999999999999</v>
      </c>
      <c r="AZ41" s="75">
        <f t="shared" si="249"/>
        <v>0.14499999999999999</v>
      </c>
      <c r="BA41" s="75">
        <f t="shared" si="249"/>
        <v>0.14499999999999999</v>
      </c>
      <c r="BB41" s="75">
        <f t="shared" si="249"/>
        <v>0.14499999999999999</v>
      </c>
      <c r="BC41" s="75">
        <f t="shared" si="249"/>
        <v>0.13999999999999999</v>
      </c>
      <c r="BD41" s="75">
        <f t="shared" si="249"/>
        <v>0.13999999999999999</v>
      </c>
      <c r="BE41" s="75">
        <f t="shared" si="249"/>
        <v>0.13999999999999999</v>
      </c>
      <c r="BF41" s="75">
        <f t="shared" si="249"/>
        <v>0.13999999999999999</v>
      </c>
      <c r="BG41" s="75">
        <f t="shared" si="249"/>
        <v>0.13999999999999999</v>
      </c>
      <c r="BH41" s="75">
        <f t="shared" si="249"/>
        <v>0.13999999999999999</v>
      </c>
      <c r="BI41" s="75">
        <f t="shared" si="249"/>
        <v>0.13999999999999999</v>
      </c>
      <c r="BJ41" s="75">
        <f t="shared" si="249"/>
        <v>0.13999999999999999</v>
      </c>
      <c r="BK41" s="75">
        <f t="shared" si="249"/>
        <v>0.13999999999999999</v>
      </c>
      <c r="BL41" s="75">
        <f t="shared" si="249"/>
        <v>0.13999999999999999</v>
      </c>
      <c r="BM41" s="75">
        <f t="shared" si="249"/>
        <v>0.13999999999999999</v>
      </c>
      <c r="BN41" s="75">
        <f t="shared" si="249"/>
        <v>0.13999999999999999</v>
      </c>
    </row>
    <row r="42" spans="1:66" ht="3" customHeight="1" x14ac:dyDescent="0.3">
      <c r="C42" s="25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</row>
    <row r="43" spans="1:66" x14ac:dyDescent="0.3">
      <c r="C43" s="44" t="s">
        <v>51</v>
      </c>
      <c r="D43" s="11"/>
      <c r="E43" s="11"/>
      <c r="F43" s="11"/>
      <c r="G43" s="55">
        <f>G40</f>
        <v>-674</v>
      </c>
      <c r="H43" s="55">
        <f t="shared" ref="H43:BN43" si="250">H40</f>
        <v>-1341.6000000000001</v>
      </c>
      <c r="I43" s="55">
        <f t="shared" si="250"/>
        <v>-2017.2</v>
      </c>
      <c r="J43" s="55">
        <f t="shared" si="250"/>
        <v>-2700.8</v>
      </c>
      <c r="K43" s="55">
        <f t="shared" si="250"/>
        <v>-3406.4</v>
      </c>
      <c r="L43" s="55">
        <f t="shared" si="250"/>
        <v>-4138.8</v>
      </c>
      <c r="M43" s="55">
        <f t="shared" si="250"/>
        <v>-4907.6000000000004</v>
      </c>
      <c r="N43" s="55">
        <f t="shared" si="250"/>
        <v>-5717.2</v>
      </c>
      <c r="O43" s="55">
        <f t="shared" si="250"/>
        <v>-6577.2</v>
      </c>
      <c r="P43" s="55">
        <f t="shared" si="250"/>
        <v>-7492</v>
      </c>
      <c r="Q43" s="55">
        <f t="shared" si="250"/>
        <v>-8466.4</v>
      </c>
      <c r="R43" s="55">
        <f t="shared" si="250"/>
        <v>-9509.6</v>
      </c>
      <c r="S43" s="55">
        <f t="shared" si="250"/>
        <v>-10222.637500000001</v>
      </c>
      <c r="T43" s="55">
        <f t="shared" si="250"/>
        <v>-11309.1875</v>
      </c>
      <c r="U43" s="55">
        <f t="shared" si="250"/>
        <v>-12480.987499999999</v>
      </c>
      <c r="V43" s="55">
        <f t="shared" si="250"/>
        <v>-13751.6</v>
      </c>
      <c r="W43" s="55">
        <f t="shared" si="250"/>
        <v>-15125.674999999999</v>
      </c>
      <c r="X43" s="55">
        <f t="shared" si="250"/>
        <v>-16612.512500000001</v>
      </c>
      <c r="Y43" s="55">
        <f t="shared" si="250"/>
        <v>-18225.674999999999</v>
      </c>
      <c r="Z43" s="55">
        <f t="shared" si="250"/>
        <v>-19978.724999999999</v>
      </c>
      <c r="AA43" s="55">
        <f t="shared" si="250"/>
        <v>-21880.575000000001</v>
      </c>
      <c r="AB43" s="55">
        <f t="shared" si="250"/>
        <v>-23954.087500000001</v>
      </c>
      <c r="AC43" s="55">
        <f t="shared" si="250"/>
        <v>-26208.5625</v>
      </c>
      <c r="AD43" s="55">
        <f t="shared" si="250"/>
        <v>-28652.912499999999</v>
      </c>
      <c r="AE43" s="55">
        <f t="shared" si="250"/>
        <v>-30160.125</v>
      </c>
      <c r="AF43" s="55">
        <f t="shared" si="250"/>
        <v>-32806.875</v>
      </c>
      <c r="AG43" s="55">
        <f t="shared" si="250"/>
        <v>-35691</v>
      </c>
      <c r="AH43" s="55">
        <f t="shared" si="250"/>
        <v>-38839.125</v>
      </c>
      <c r="AI43" s="55">
        <f t="shared" si="250"/>
        <v>-42264.375</v>
      </c>
      <c r="AJ43" s="55">
        <f t="shared" si="250"/>
        <v>-46002</v>
      </c>
      <c r="AK43" s="55">
        <f t="shared" si="250"/>
        <v>-50078.625</v>
      </c>
      <c r="AL43" s="55">
        <f t="shared" si="250"/>
        <v>-54521.25</v>
      </c>
      <c r="AM43" s="55">
        <f t="shared" si="250"/>
        <v>-59365.125</v>
      </c>
      <c r="AN43" s="55">
        <f t="shared" si="250"/>
        <v>-64645.5</v>
      </c>
      <c r="AO43" s="55">
        <f t="shared" si="250"/>
        <v>-70415.25</v>
      </c>
      <c r="AP43" s="55">
        <f t="shared" si="250"/>
        <v>-76710.375</v>
      </c>
      <c r="AQ43" s="55">
        <f t="shared" si="250"/>
        <v>-80789.649999999994</v>
      </c>
      <c r="AR43" s="55">
        <f t="shared" si="250"/>
        <v>-88040.737499999988</v>
      </c>
      <c r="AS43" s="55">
        <f t="shared" si="250"/>
        <v>-95962.45</v>
      </c>
      <c r="AT43" s="55">
        <f t="shared" si="250"/>
        <v>-104606.625</v>
      </c>
      <c r="AU43" s="55">
        <f t="shared" si="250"/>
        <v>-114054.46249999999</v>
      </c>
      <c r="AV43" s="55">
        <f t="shared" si="250"/>
        <v>-124378.825</v>
      </c>
      <c r="AW43" s="55">
        <f t="shared" si="250"/>
        <v>-135661.63749999998</v>
      </c>
      <c r="AX43" s="55">
        <f t="shared" si="250"/>
        <v>-147997.15</v>
      </c>
      <c r="AY43" s="55">
        <f t="shared" si="250"/>
        <v>-161479.97499999998</v>
      </c>
      <c r="AZ43" s="55">
        <f t="shared" si="250"/>
        <v>-176213.42499999999</v>
      </c>
      <c r="BA43" s="55">
        <f t="shared" si="250"/>
        <v>-192322.19999999998</v>
      </c>
      <c r="BB43" s="55">
        <f t="shared" si="250"/>
        <v>-209939.33749999999</v>
      </c>
      <c r="BC43" s="55">
        <f t="shared" si="250"/>
        <v>-221303.24999999997</v>
      </c>
      <c r="BD43" s="55">
        <f t="shared" si="250"/>
        <v>-241653.99999999997</v>
      </c>
      <c r="BE43" s="55">
        <f t="shared" si="250"/>
        <v>-263906.3</v>
      </c>
      <c r="BF43" s="55">
        <f t="shared" si="250"/>
        <v>-288254.74999999994</v>
      </c>
      <c r="BG43" s="55">
        <f t="shared" si="250"/>
        <v>-314895.34999999998</v>
      </c>
      <c r="BH43" s="55">
        <f t="shared" si="250"/>
        <v>-344048.6</v>
      </c>
      <c r="BI43" s="55">
        <f t="shared" si="250"/>
        <v>-375951.44999999995</v>
      </c>
      <c r="BJ43" s="55">
        <f t="shared" si="250"/>
        <v>-410874.44999999995</v>
      </c>
      <c r="BK43" s="55">
        <f t="shared" si="250"/>
        <v>-449100.74999999994</v>
      </c>
      <c r="BL43" s="55">
        <f t="shared" si="250"/>
        <v>-490942.89999999997</v>
      </c>
      <c r="BM43" s="55">
        <f t="shared" si="250"/>
        <v>-536750.54999999993</v>
      </c>
      <c r="BN43" s="55">
        <f t="shared" si="250"/>
        <v>-586910.79999999993</v>
      </c>
    </row>
    <row r="44" spans="1:66" ht="3" customHeight="1" x14ac:dyDescent="0.3">
      <c r="C44" s="25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</row>
    <row r="45" spans="1:66" x14ac:dyDescent="0.3">
      <c r="C45" s="31" t="s">
        <v>53</v>
      </c>
      <c r="D45" s="32"/>
      <c r="E45" s="32"/>
      <c r="F45" s="32"/>
      <c r="G45" s="39">
        <f t="shared" ref="G45:AL45" si="251">G43+G35</f>
        <v>3538.5</v>
      </c>
      <c r="H45" s="39">
        <f t="shared" si="251"/>
        <v>7043.4</v>
      </c>
      <c r="I45" s="39">
        <f t="shared" si="251"/>
        <v>10590.3</v>
      </c>
      <c r="J45" s="39">
        <f t="shared" si="251"/>
        <v>14179.2</v>
      </c>
      <c r="K45" s="39">
        <f t="shared" si="251"/>
        <v>17883.599999999999</v>
      </c>
      <c r="L45" s="39">
        <f t="shared" si="251"/>
        <v>21728.7</v>
      </c>
      <c r="M45" s="39">
        <f t="shared" si="251"/>
        <v>25764.9</v>
      </c>
      <c r="N45" s="39">
        <f t="shared" si="251"/>
        <v>30015.3</v>
      </c>
      <c r="O45" s="39">
        <f t="shared" si="251"/>
        <v>34530.300000000003</v>
      </c>
      <c r="P45" s="39">
        <f t="shared" si="251"/>
        <v>39333</v>
      </c>
      <c r="Q45" s="39">
        <f t="shared" si="251"/>
        <v>44448.6</v>
      </c>
      <c r="R45" s="39">
        <f t="shared" si="251"/>
        <v>49925.4</v>
      </c>
      <c r="S45" s="39">
        <f t="shared" si="251"/>
        <v>55729.862500000003</v>
      </c>
      <c r="T45" s="39">
        <f t="shared" si="251"/>
        <v>61653.3125</v>
      </c>
      <c r="U45" s="39">
        <f t="shared" si="251"/>
        <v>68041.512499999997</v>
      </c>
      <c r="V45" s="39">
        <f t="shared" si="251"/>
        <v>74968.399999999994</v>
      </c>
      <c r="W45" s="39">
        <f t="shared" si="251"/>
        <v>82459.324999999997</v>
      </c>
      <c r="X45" s="39">
        <f t="shared" si="251"/>
        <v>90564.987500000003</v>
      </c>
      <c r="Y45" s="39">
        <f t="shared" si="251"/>
        <v>99359.324999999997</v>
      </c>
      <c r="Z45" s="39">
        <f t="shared" si="251"/>
        <v>108916.27499999999</v>
      </c>
      <c r="AA45" s="39">
        <f t="shared" si="251"/>
        <v>119284.425</v>
      </c>
      <c r="AB45" s="39">
        <f t="shared" si="251"/>
        <v>130588.41250000001</v>
      </c>
      <c r="AC45" s="39">
        <f t="shared" si="251"/>
        <v>142878.9375</v>
      </c>
      <c r="AD45" s="39">
        <f t="shared" si="251"/>
        <v>156204.58749999999</v>
      </c>
      <c r="AE45" s="39">
        <f t="shared" si="251"/>
        <v>170907.375</v>
      </c>
      <c r="AF45" s="39">
        <f t="shared" si="251"/>
        <v>185905.625</v>
      </c>
      <c r="AG45" s="39">
        <f t="shared" si="251"/>
        <v>202249</v>
      </c>
      <c r="AH45" s="39">
        <f t="shared" si="251"/>
        <v>220088.375</v>
      </c>
      <c r="AI45" s="39">
        <f t="shared" si="251"/>
        <v>239498.125</v>
      </c>
      <c r="AJ45" s="39">
        <f t="shared" si="251"/>
        <v>260678</v>
      </c>
      <c r="AK45" s="39">
        <f t="shared" si="251"/>
        <v>283778.875</v>
      </c>
      <c r="AL45" s="39">
        <f t="shared" si="251"/>
        <v>308953.75</v>
      </c>
      <c r="AM45" s="39">
        <f t="shared" ref="AM45:BN45" si="252">AM43+AM35</f>
        <v>336402.375</v>
      </c>
      <c r="AN45" s="39">
        <f t="shared" si="252"/>
        <v>366324.5</v>
      </c>
      <c r="AO45" s="39">
        <f t="shared" si="252"/>
        <v>399019.75</v>
      </c>
      <c r="AP45" s="39">
        <f t="shared" si="252"/>
        <v>434692.125</v>
      </c>
      <c r="AQ45" s="39">
        <f t="shared" si="252"/>
        <v>476380.35</v>
      </c>
      <c r="AR45" s="39">
        <f t="shared" si="252"/>
        <v>519136.76250000001</v>
      </c>
      <c r="AS45" s="39">
        <f t="shared" si="252"/>
        <v>565847.55000000005</v>
      </c>
      <c r="AT45" s="39">
        <f t="shared" si="252"/>
        <v>616818.375</v>
      </c>
      <c r="AU45" s="39">
        <f t="shared" si="252"/>
        <v>672528.03749999998</v>
      </c>
      <c r="AV45" s="39">
        <f t="shared" si="252"/>
        <v>733406.17500000005</v>
      </c>
      <c r="AW45" s="39">
        <f t="shared" si="252"/>
        <v>799935.86250000005</v>
      </c>
      <c r="AX45" s="39">
        <f t="shared" si="252"/>
        <v>872672.85</v>
      </c>
      <c r="AY45" s="39">
        <f t="shared" si="252"/>
        <v>952175.02500000002</v>
      </c>
      <c r="AZ45" s="39">
        <f t="shared" si="252"/>
        <v>1039051.575</v>
      </c>
      <c r="BA45" s="39">
        <f t="shared" si="252"/>
        <v>1134037.8</v>
      </c>
      <c r="BB45" s="39">
        <f t="shared" si="252"/>
        <v>1237918.1625000001</v>
      </c>
      <c r="BC45" s="39">
        <f t="shared" si="252"/>
        <v>1359434.25</v>
      </c>
      <c r="BD45" s="39">
        <f t="shared" si="252"/>
        <v>1484446</v>
      </c>
      <c r="BE45" s="39">
        <f t="shared" si="252"/>
        <v>1621138.7</v>
      </c>
      <c r="BF45" s="39">
        <f t="shared" si="252"/>
        <v>1770707.75</v>
      </c>
      <c r="BG45" s="39">
        <f t="shared" si="252"/>
        <v>1934357.15</v>
      </c>
      <c r="BH45" s="39">
        <f t="shared" si="252"/>
        <v>2113441.4</v>
      </c>
      <c r="BI45" s="39">
        <f t="shared" si="252"/>
        <v>2309416.0499999998</v>
      </c>
      <c r="BJ45" s="39">
        <f t="shared" si="252"/>
        <v>2523943.0499999998</v>
      </c>
      <c r="BK45" s="39">
        <f t="shared" si="252"/>
        <v>2758761.75</v>
      </c>
      <c r="BL45" s="39">
        <f t="shared" si="252"/>
        <v>3015792.1</v>
      </c>
      <c r="BM45" s="39">
        <f t="shared" si="252"/>
        <v>3297181.95</v>
      </c>
      <c r="BN45" s="39">
        <f t="shared" si="252"/>
        <v>3605309.2</v>
      </c>
    </row>
    <row r="46" spans="1:66" x14ac:dyDescent="0.3">
      <c r="C46" s="25" t="s">
        <v>73</v>
      </c>
      <c r="G46" s="69">
        <f>G45/G$35</f>
        <v>0.84</v>
      </c>
      <c r="H46" s="69">
        <f t="shared" ref="H46:AD46" si="253">H45/H$35</f>
        <v>0.84</v>
      </c>
      <c r="I46" s="69">
        <f t="shared" si="253"/>
        <v>0.84</v>
      </c>
      <c r="J46" s="69">
        <f t="shared" si="253"/>
        <v>0.84000000000000008</v>
      </c>
      <c r="K46" s="69">
        <f t="shared" si="253"/>
        <v>0.84</v>
      </c>
      <c r="L46" s="69">
        <f t="shared" si="253"/>
        <v>0.84000000000000008</v>
      </c>
      <c r="M46" s="69">
        <f t="shared" si="253"/>
        <v>0.84000000000000008</v>
      </c>
      <c r="N46" s="69">
        <f t="shared" si="253"/>
        <v>0.84</v>
      </c>
      <c r="O46" s="69">
        <f t="shared" si="253"/>
        <v>0.84000000000000008</v>
      </c>
      <c r="P46" s="69">
        <f t="shared" si="253"/>
        <v>0.84</v>
      </c>
      <c r="Q46" s="69">
        <f t="shared" si="253"/>
        <v>0.84</v>
      </c>
      <c r="R46" s="69">
        <f t="shared" si="253"/>
        <v>0.84000000000000008</v>
      </c>
      <c r="S46" s="69">
        <f t="shared" si="253"/>
        <v>0.84500000000000008</v>
      </c>
      <c r="T46" s="69">
        <f t="shared" si="253"/>
        <v>0.84499999999999997</v>
      </c>
      <c r="U46" s="69">
        <f t="shared" si="253"/>
        <v>0.84499999999999997</v>
      </c>
      <c r="V46" s="69">
        <f t="shared" si="253"/>
        <v>0.84499999999999997</v>
      </c>
      <c r="W46" s="69">
        <f t="shared" si="253"/>
        <v>0.84499999999999997</v>
      </c>
      <c r="X46" s="69">
        <f t="shared" si="253"/>
        <v>0.84499999999999997</v>
      </c>
      <c r="Y46" s="69">
        <f t="shared" si="253"/>
        <v>0.84499999999999997</v>
      </c>
      <c r="Z46" s="69">
        <f t="shared" si="253"/>
        <v>0.84499999999999997</v>
      </c>
      <c r="AA46" s="69">
        <f t="shared" si="253"/>
        <v>0.84499999999999997</v>
      </c>
      <c r="AB46" s="69">
        <f t="shared" si="253"/>
        <v>0.84500000000000008</v>
      </c>
      <c r="AC46" s="69">
        <f t="shared" si="253"/>
        <v>0.84499999999999997</v>
      </c>
      <c r="AD46" s="69">
        <f t="shared" si="253"/>
        <v>0.84499999999999997</v>
      </c>
      <c r="AE46" s="69">
        <f t="shared" ref="AE46:BN46" si="254">AE45/AE$35</f>
        <v>0.85</v>
      </c>
      <c r="AF46" s="69">
        <f t="shared" si="254"/>
        <v>0.85</v>
      </c>
      <c r="AG46" s="69">
        <f t="shared" si="254"/>
        <v>0.85</v>
      </c>
      <c r="AH46" s="69">
        <f t="shared" si="254"/>
        <v>0.85</v>
      </c>
      <c r="AI46" s="69">
        <f t="shared" si="254"/>
        <v>0.85</v>
      </c>
      <c r="AJ46" s="69">
        <f t="shared" si="254"/>
        <v>0.85</v>
      </c>
      <c r="AK46" s="69">
        <f t="shared" si="254"/>
        <v>0.85</v>
      </c>
      <c r="AL46" s="69">
        <f t="shared" si="254"/>
        <v>0.85</v>
      </c>
      <c r="AM46" s="69">
        <f t="shared" si="254"/>
        <v>0.85</v>
      </c>
      <c r="AN46" s="69">
        <f t="shared" si="254"/>
        <v>0.85</v>
      </c>
      <c r="AO46" s="69">
        <f t="shared" si="254"/>
        <v>0.85</v>
      </c>
      <c r="AP46" s="69">
        <f t="shared" si="254"/>
        <v>0.85</v>
      </c>
      <c r="AQ46" s="69">
        <f t="shared" si="254"/>
        <v>0.85499999999999998</v>
      </c>
      <c r="AR46" s="69">
        <f t="shared" si="254"/>
        <v>0.85499999999999998</v>
      </c>
      <c r="AS46" s="69">
        <f t="shared" si="254"/>
        <v>0.85500000000000009</v>
      </c>
      <c r="AT46" s="69">
        <f t="shared" si="254"/>
        <v>0.85499999999999998</v>
      </c>
      <c r="AU46" s="69">
        <f t="shared" si="254"/>
        <v>0.85499999999999998</v>
      </c>
      <c r="AV46" s="69">
        <f t="shared" si="254"/>
        <v>0.85500000000000009</v>
      </c>
      <c r="AW46" s="69">
        <f t="shared" si="254"/>
        <v>0.85500000000000009</v>
      </c>
      <c r="AX46" s="69">
        <f t="shared" si="254"/>
        <v>0.85499999999999998</v>
      </c>
      <c r="AY46" s="69">
        <f t="shared" si="254"/>
        <v>0.85499999999999998</v>
      </c>
      <c r="AZ46" s="69">
        <f t="shared" si="254"/>
        <v>0.85499999999999998</v>
      </c>
      <c r="BA46" s="69">
        <f t="shared" si="254"/>
        <v>0.85499999999999998</v>
      </c>
      <c r="BB46" s="69">
        <f t="shared" si="254"/>
        <v>0.85500000000000009</v>
      </c>
      <c r="BC46" s="69">
        <f t="shared" si="254"/>
        <v>0.86</v>
      </c>
      <c r="BD46" s="69">
        <f t="shared" si="254"/>
        <v>0.86</v>
      </c>
      <c r="BE46" s="69">
        <f t="shared" si="254"/>
        <v>0.86</v>
      </c>
      <c r="BF46" s="69">
        <f t="shared" si="254"/>
        <v>0.86</v>
      </c>
      <c r="BG46" s="69">
        <f t="shared" si="254"/>
        <v>0.86</v>
      </c>
      <c r="BH46" s="69">
        <f t="shared" si="254"/>
        <v>0.86</v>
      </c>
      <c r="BI46" s="69">
        <f t="shared" si="254"/>
        <v>0.85999999999999988</v>
      </c>
      <c r="BJ46" s="69">
        <f t="shared" si="254"/>
        <v>0.86</v>
      </c>
      <c r="BK46" s="69">
        <f t="shared" si="254"/>
        <v>0.86</v>
      </c>
      <c r="BL46" s="69">
        <f t="shared" si="254"/>
        <v>0.86</v>
      </c>
      <c r="BM46" s="69">
        <f t="shared" si="254"/>
        <v>0.8600000000000001</v>
      </c>
      <c r="BN46" s="69">
        <f t="shared" si="254"/>
        <v>0.8600000000000001</v>
      </c>
    </row>
    <row r="47" spans="1:66" x14ac:dyDescent="0.3">
      <c r="C47" s="25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</row>
    <row r="48" spans="1:66" x14ac:dyDescent="0.3">
      <c r="A48" s="22"/>
      <c r="B48" s="22" t="s">
        <v>0</v>
      </c>
      <c r="C48" s="4" t="s">
        <v>54</v>
      </c>
      <c r="E48" s="63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</row>
    <row r="49" spans="2:66" ht="3" customHeight="1" x14ac:dyDescent="0.3">
      <c r="C49" s="25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</row>
    <row r="50" spans="2:66" x14ac:dyDescent="0.3">
      <c r="B50" s="22" t="s">
        <v>0</v>
      </c>
      <c r="C50" s="23" t="s">
        <v>56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</row>
    <row r="51" spans="2:66" ht="3" customHeight="1" x14ac:dyDescent="0.3">
      <c r="C51" s="25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</row>
    <row r="52" spans="2:66" x14ac:dyDescent="0.3">
      <c r="C52" t="s">
        <v>70</v>
      </c>
      <c r="E52" s="65">
        <f>Assumptions!$E30</f>
        <v>150000</v>
      </c>
      <c r="G52" s="37">
        <f>$E52/12</f>
        <v>12500</v>
      </c>
      <c r="H52" s="37">
        <f t="shared" ref="H52:AW53" si="255">$E52/12</f>
        <v>12500</v>
      </c>
      <c r="I52" s="37">
        <f t="shared" si="255"/>
        <v>12500</v>
      </c>
      <c r="J52" s="37">
        <f t="shared" si="255"/>
        <v>12500</v>
      </c>
      <c r="K52" s="37">
        <f t="shared" si="255"/>
        <v>12500</v>
      </c>
      <c r="L52" s="37">
        <f t="shared" si="255"/>
        <v>12500</v>
      </c>
      <c r="M52" s="37">
        <f t="shared" si="255"/>
        <v>12500</v>
      </c>
      <c r="N52" s="37">
        <f t="shared" si="255"/>
        <v>12500</v>
      </c>
      <c r="O52" s="37">
        <f t="shared" si="255"/>
        <v>12500</v>
      </c>
      <c r="P52" s="37">
        <f t="shared" si="255"/>
        <v>12500</v>
      </c>
      <c r="Q52" s="37">
        <f t="shared" si="255"/>
        <v>12500</v>
      </c>
      <c r="R52" s="37">
        <f t="shared" si="255"/>
        <v>12500</v>
      </c>
      <c r="S52" s="37">
        <f t="shared" si="255"/>
        <v>12500</v>
      </c>
      <c r="T52" s="37">
        <f t="shared" si="255"/>
        <v>12500</v>
      </c>
      <c r="U52" s="37">
        <f t="shared" si="255"/>
        <v>12500</v>
      </c>
      <c r="V52" s="37">
        <f t="shared" si="255"/>
        <v>12500</v>
      </c>
      <c r="W52" s="37">
        <f t="shared" si="255"/>
        <v>12500</v>
      </c>
      <c r="X52" s="37">
        <f t="shared" si="255"/>
        <v>12500</v>
      </c>
      <c r="Y52" s="37">
        <f t="shared" si="255"/>
        <v>12500</v>
      </c>
      <c r="Z52" s="37">
        <f t="shared" si="255"/>
        <v>12500</v>
      </c>
      <c r="AA52" s="37">
        <f t="shared" si="255"/>
        <v>12500</v>
      </c>
      <c r="AB52" s="37">
        <f t="shared" si="255"/>
        <v>12500</v>
      </c>
      <c r="AC52" s="37">
        <f t="shared" si="255"/>
        <v>12500</v>
      </c>
      <c r="AD52" s="37">
        <f t="shared" si="255"/>
        <v>12500</v>
      </c>
      <c r="AE52" s="37">
        <f t="shared" si="255"/>
        <v>12500</v>
      </c>
      <c r="AF52" s="37">
        <f t="shared" si="255"/>
        <v>12500</v>
      </c>
      <c r="AG52" s="37">
        <f t="shared" si="255"/>
        <v>12500</v>
      </c>
      <c r="AH52" s="37">
        <f t="shared" si="255"/>
        <v>12500</v>
      </c>
      <c r="AI52" s="37">
        <f t="shared" si="255"/>
        <v>12500</v>
      </c>
      <c r="AJ52" s="37">
        <f t="shared" si="255"/>
        <v>12500</v>
      </c>
      <c r="AK52" s="37">
        <f t="shared" si="255"/>
        <v>12500</v>
      </c>
      <c r="AL52" s="37">
        <f t="shared" si="255"/>
        <v>12500</v>
      </c>
      <c r="AM52" s="37">
        <f t="shared" si="255"/>
        <v>12500</v>
      </c>
      <c r="AN52" s="37">
        <f t="shared" si="255"/>
        <v>12500</v>
      </c>
      <c r="AO52" s="37">
        <f t="shared" si="255"/>
        <v>12500</v>
      </c>
      <c r="AP52" s="37">
        <f t="shared" si="255"/>
        <v>12500</v>
      </c>
      <c r="AQ52" s="37">
        <f t="shared" si="255"/>
        <v>12500</v>
      </c>
      <c r="AR52" s="37">
        <f t="shared" si="255"/>
        <v>12500</v>
      </c>
      <c r="AS52" s="37">
        <f t="shared" si="255"/>
        <v>12500</v>
      </c>
      <c r="AT52" s="37">
        <f t="shared" si="255"/>
        <v>12500</v>
      </c>
      <c r="AU52" s="37">
        <f t="shared" si="255"/>
        <v>12500</v>
      </c>
      <c r="AV52" s="37">
        <f t="shared" si="255"/>
        <v>12500</v>
      </c>
      <c r="AW52" s="37">
        <f t="shared" si="255"/>
        <v>12500</v>
      </c>
      <c r="AX52" s="37">
        <f t="shared" ref="AX52:BN53" si="256">$E52/12</f>
        <v>12500</v>
      </c>
      <c r="AY52" s="37">
        <f t="shared" si="256"/>
        <v>12500</v>
      </c>
      <c r="AZ52" s="37">
        <f t="shared" si="256"/>
        <v>12500</v>
      </c>
      <c r="BA52" s="37">
        <f t="shared" si="256"/>
        <v>12500</v>
      </c>
      <c r="BB52" s="37">
        <f t="shared" si="256"/>
        <v>12500</v>
      </c>
      <c r="BC52" s="37">
        <f t="shared" si="256"/>
        <v>12500</v>
      </c>
      <c r="BD52" s="37">
        <f t="shared" si="256"/>
        <v>12500</v>
      </c>
      <c r="BE52" s="37">
        <f t="shared" si="256"/>
        <v>12500</v>
      </c>
      <c r="BF52" s="37">
        <f t="shared" si="256"/>
        <v>12500</v>
      </c>
      <c r="BG52" s="37">
        <f t="shared" si="256"/>
        <v>12500</v>
      </c>
      <c r="BH52" s="37">
        <f t="shared" si="256"/>
        <v>12500</v>
      </c>
      <c r="BI52" s="37">
        <f t="shared" si="256"/>
        <v>12500</v>
      </c>
      <c r="BJ52" s="37">
        <f t="shared" si="256"/>
        <v>12500</v>
      </c>
      <c r="BK52" s="37">
        <f t="shared" si="256"/>
        <v>12500</v>
      </c>
      <c r="BL52" s="37">
        <f t="shared" si="256"/>
        <v>12500</v>
      </c>
      <c r="BM52" s="37">
        <f t="shared" si="256"/>
        <v>12500</v>
      </c>
      <c r="BN52" s="37">
        <f t="shared" si="256"/>
        <v>12500</v>
      </c>
    </row>
    <row r="53" spans="2:66" x14ac:dyDescent="0.3">
      <c r="C53" t="s">
        <v>71</v>
      </c>
      <c r="E53" s="65">
        <f>Assumptions!$E31</f>
        <v>150000</v>
      </c>
      <c r="G53" s="27">
        <f>$E53/12</f>
        <v>12500</v>
      </c>
      <c r="H53" s="27">
        <f t="shared" ref="H53:AE53" si="257">$E53/12</f>
        <v>12500</v>
      </c>
      <c r="I53" s="27">
        <f t="shared" si="257"/>
        <v>12500</v>
      </c>
      <c r="J53" s="27">
        <f t="shared" si="257"/>
        <v>12500</v>
      </c>
      <c r="K53" s="27">
        <f t="shared" si="257"/>
        <v>12500</v>
      </c>
      <c r="L53" s="27">
        <f t="shared" si="257"/>
        <v>12500</v>
      </c>
      <c r="M53" s="27">
        <f t="shared" si="257"/>
        <v>12500</v>
      </c>
      <c r="N53" s="27">
        <f t="shared" si="257"/>
        <v>12500</v>
      </c>
      <c r="O53" s="27">
        <f t="shared" si="257"/>
        <v>12500</v>
      </c>
      <c r="P53" s="27">
        <f t="shared" si="257"/>
        <v>12500</v>
      </c>
      <c r="Q53" s="27">
        <f t="shared" si="257"/>
        <v>12500</v>
      </c>
      <c r="R53" s="27">
        <f t="shared" si="257"/>
        <v>12500</v>
      </c>
      <c r="S53" s="27">
        <f t="shared" si="257"/>
        <v>12500</v>
      </c>
      <c r="T53" s="27">
        <f t="shared" si="257"/>
        <v>12500</v>
      </c>
      <c r="U53" s="27">
        <f t="shared" si="257"/>
        <v>12500</v>
      </c>
      <c r="V53" s="27">
        <f t="shared" si="257"/>
        <v>12500</v>
      </c>
      <c r="W53" s="27">
        <f t="shared" si="257"/>
        <v>12500</v>
      </c>
      <c r="X53" s="27">
        <f t="shared" si="257"/>
        <v>12500</v>
      </c>
      <c r="Y53" s="27">
        <f t="shared" si="257"/>
        <v>12500</v>
      </c>
      <c r="Z53" s="27">
        <f t="shared" si="257"/>
        <v>12500</v>
      </c>
      <c r="AA53" s="27">
        <f t="shared" si="257"/>
        <v>12500</v>
      </c>
      <c r="AB53" s="27">
        <f t="shared" si="257"/>
        <v>12500</v>
      </c>
      <c r="AC53" s="27">
        <f t="shared" si="257"/>
        <v>12500</v>
      </c>
      <c r="AD53" s="27">
        <f t="shared" si="257"/>
        <v>12500</v>
      </c>
      <c r="AE53" s="27">
        <f t="shared" si="257"/>
        <v>12500</v>
      </c>
      <c r="AF53" s="27">
        <f t="shared" si="255"/>
        <v>12500</v>
      </c>
      <c r="AG53" s="27">
        <f t="shared" si="255"/>
        <v>12500</v>
      </c>
      <c r="AH53" s="27">
        <f t="shared" si="255"/>
        <v>12500</v>
      </c>
      <c r="AI53" s="27">
        <f t="shared" si="255"/>
        <v>12500</v>
      </c>
      <c r="AJ53" s="27">
        <f t="shared" si="255"/>
        <v>12500</v>
      </c>
      <c r="AK53" s="27">
        <f t="shared" si="255"/>
        <v>12500</v>
      </c>
      <c r="AL53" s="27">
        <f t="shared" si="255"/>
        <v>12500</v>
      </c>
      <c r="AM53" s="27">
        <f t="shared" si="255"/>
        <v>12500</v>
      </c>
      <c r="AN53" s="27">
        <f t="shared" si="255"/>
        <v>12500</v>
      </c>
      <c r="AO53" s="27">
        <f t="shared" si="255"/>
        <v>12500</v>
      </c>
      <c r="AP53" s="27">
        <f t="shared" si="255"/>
        <v>12500</v>
      </c>
      <c r="AQ53" s="27">
        <f t="shared" si="255"/>
        <v>12500</v>
      </c>
      <c r="AR53" s="27">
        <f t="shared" si="255"/>
        <v>12500</v>
      </c>
      <c r="AS53" s="27">
        <f t="shared" si="255"/>
        <v>12500</v>
      </c>
      <c r="AT53" s="27">
        <f t="shared" si="255"/>
        <v>12500</v>
      </c>
      <c r="AU53" s="27">
        <f t="shared" si="255"/>
        <v>12500</v>
      </c>
      <c r="AV53" s="27">
        <f t="shared" si="255"/>
        <v>12500</v>
      </c>
      <c r="AW53" s="27">
        <f t="shared" si="255"/>
        <v>12500</v>
      </c>
      <c r="AX53" s="27">
        <f t="shared" si="256"/>
        <v>12500</v>
      </c>
      <c r="AY53" s="27">
        <f t="shared" si="256"/>
        <v>12500</v>
      </c>
      <c r="AZ53" s="27">
        <f t="shared" si="256"/>
        <v>12500</v>
      </c>
      <c r="BA53" s="27">
        <f t="shared" si="256"/>
        <v>12500</v>
      </c>
      <c r="BB53" s="27">
        <f t="shared" si="256"/>
        <v>12500</v>
      </c>
      <c r="BC53" s="27">
        <f t="shared" si="256"/>
        <v>12500</v>
      </c>
      <c r="BD53" s="27">
        <f t="shared" si="256"/>
        <v>12500</v>
      </c>
      <c r="BE53" s="27">
        <f t="shared" si="256"/>
        <v>12500</v>
      </c>
      <c r="BF53" s="27">
        <f t="shared" si="256"/>
        <v>12500</v>
      </c>
      <c r="BG53" s="27">
        <f t="shared" si="256"/>
        <v>12500</v>
      </c>
      <c r="BH53" s="27">
        <f t="shared" si="256"/>
        <v>12500</v>
      </c>
      <c r="BI53" s="27">
        <f t="shared" si="256"/>
        <v>12500</v>
      </c>
      <c r="BJ53" s="27">
        <f t="shared" si="256"/>
        <v>12500</v>
      </c>
      <c r="BK53" s="27">
        <f t="shared" si="256"/>
        <v>12500</v>
      </c>
      <c r="BL53" s="27">
        <f t="shared" si="256"/>
        <v>12500</v>
      </c>
      <c r="BM53" s="27">
        <f t="shared" si="256"/>
        <v>12500</v>
      </c>
      <c r="BN53" s="27">
        <f t="shared" si="256"/>
        <v>12500</v>
      </c>
    </row>
    <row r="54" spans="2:66" x14ac:dyDescent="0.3">
      <c r="C54" s="11" t="s">
        <v>99</v>
      </c>
      <c r="D54" s="11"/>
      <c r="E54" s="66">
        <f>SUM(E52:E53)</f>
        <v>300000</v>
      </c>
      <c r="F54" s="11"/>
      <c r="G54" s="64">
        <f t="shared" ref="G54:AL54" si="258">SUM(G52:G53)</f>
        <v>25000</v>
      </c>
      <c r="H54" s="64">
        <f t="shared" si="258"/>
        <v>25000</v>
      </c>
      <c r="I54" s="64">
        <f t="shared" si="258"/>
        <v>25000</v>
      </c>
      <c r="J54" s="64">
        <f t="shared" si="258"/>
        <v>25000</v>
      </c>
      <c r="K54" s="64">
        <f t="shared" si="258"/>
        <v>25000</v>
      </c>
      <c r="L54" s="64">
        <f t="shared" si="258"/>
        <v>25000</v>
      </c>
      <c r="M54" s="64">
        <f t="shared" si="258"/>
        <v>25000</v>
      </c>
      <c r="N54" s="64">
        <f t="shared" si="258"/>
        <v>25000</v>
      </c>
      <c r="O54" s="64">
        <f t="shared" si="258"/>
        <v>25000</v>
      </c>
      <c r="P54" s="64">
        <f t="shared" si="258"/>
        <v>25000</v>
      </c>
      <c r="Q54" s="64">
        <f t="shared" si="258"/>
        <v>25000</v>
      </c>
      <c r="R54" s="64">
        <f t="shared" si="258"/>
        <v>25000</v>
      </c>
      <c r="S54" s="64">
        <f t="shared" si="258"/>
        <v>25000</v>
      </c>
      <c r="T54" s="64">
        <f t="shared" si="258"/>
        <v>25000</v>
      </c>
      <c r="U54" s="64">
        <f t="shared" si="258"/>
        <v>25000</v>
      </c>
      <c r="V54" s="64">
        <f t="shared" si="258"/>
        <v>25000</v>
      </c>
      <c r="W54" s="64">
        <f t="shared" si="258"/>
        <v>25000</v>
      </c>
      <c r="X54" s="64">
        <f t="shared" si="258"/>
        <v>25000</v>
      </c>
      <c r="Y54" s="64">
        <f t="shared" si="258"/>
        <v>25000</v>
      </c>
      <c r="Z54" s="64">
        <f t="shared" si="258"/>
        <v>25000</v>
      </c>
      <c r="AA54" s="64">
        <f t="shared" si="258"/>
        <v>25000</v>
      </c>
      <c r="AB54" s="64">
        <f t="shared" si="258"/>
        <v>25000</v>
      </c>
      <c r="AC54" s="64">
        <f t="shared" si="258"/>
        <v>25000</v>
      </c>
      <c r="AD54" s="64">
        <f t="shared" si="258"/>
        <v>25000</v>
      </c>
      <c r="AE54" s="64">
        <f t="shared" si="258"/>
        <v>25000</v>
      </c>
      <c r="AF54" s="64">
        <f t="shared" si="258"/>
        <v>25000</v>
      </c>
      <c r="AG54" s="64">
        <f t="shared" si="258"/>
        <v>25000</v>
      </c>
      <c r="AH54" s="64">
        <f t="shared" si="258"/>
        <v>25000</v>
      </c>
      <c r="AI54" s="64">
        <f t="shared" si="258"/>
        <v>25000</v>
      </c>
      <c r="AJ54" s="64">
        <f t="shared" si="258"/>
        <v>25000</v>
      </c>
      <c r="AK54" s="64">
        <f t="shared" si="258"/>
        <v>25000</v>
      </c>
      <c r="AL54" s="64">
        <f t="shared" si="258"/>
        <v>25000</v>
      </c>
      <c r="AM54" s="64">
        <f t="shared" ref="AM54:BN54" si="259">SUM(AM52:AM53)</f>
        <v>25000</v>
      </c>
      <c r="AN54" s="64">
        <f t="shared" si="259"/>
        <v>25000</v>
      </c>
      <c r="AO54" s="64">
        <f t="shared" si="259"/>
        <v>25000</v>
      </c>
      <c r="AP54" s="64">
        <f t="shared" si="259"/>
        <v>25000</v>
      </c>
      <c r="AQ54" s="64">
        <f t="shared" si="259"/>
        <v>25000</v>
      </c>
      <c r="AR54" s="64">
        <f t="shared" si="259"/>
        <v>25000</v>
      </c>
      <c r="AS54" s="64">
        <f t="shared" si="259"/>
        <v>25000</v>
      </c>
      <c r="AT54" s="64">
        <f t="shared" si="259"/>
        <v>25000</v>
      </c>
      <c r="AU54" s="64">
        <f t="shared" si="259"/>
        <v>25000</v>
      </c>
      <c r="AV54" s="64">
        <f t="shared" si="259"/>
        <v>25000</v>
      </c>
      <c r="AW54" s="64">
        <f t="shared" si="259"/>
        <v>25000</v>
      </c>
      <c r="AX54" s="64">
        <f t="shared" si="259"/>
        <v>25000</v>
      </c>
      <c r="AY54" s="64">
        <f t="shared" si="259"/>
        <v>25000</v>
      </c>
      <c r="AZ54" s="64">
        <f t="shared" si="259"/>
        <v>25000</v>
      </c>
      <c r="BA54" s="64">
        <f t="shared" si="259"/>
        <v>25000</v>
      </c>
      <c r="BB54" s="64">
        <f t="shared" si="259"/>
        <v>25000</v>
      </c>
      <c r="BC54" s="64">
        <f t="shared" si="259"/>
        <v>25000</v>
      </c>
      <c r="BD54" s="64">
        <f t="shared" si="259"/>
        <v>25000</v>
      </c>
      <c r="BE54" s="64">
        <f t="shared" si="259"/>
        <v>25000</v>
      </c>
      <c r="BF54" s="64">
        <f t="shared" si="259"/>
        <v>25000</v>
      </c>
      <c r="BG54" s="64">
        <f t="shared" si="259"/>
        <v>25000</v>
      </c>
      <c r="BH54" s="64">
        <f t="shared" si="259"/>
        <v>25000</v>
      </c>
      <c r="BI54" s="64">
        <f t="shared" si="259"/>
        <v>25000</v>
      </c>
      <c r="BJ54" s="64">
        <f t="shared" si="259"/>
        <v>25000</v>
      </c>
      <c r="BK54" s="64">
        <f t="shared" si="259"/>
        <v>25000</v>
      </c>
      <c r="BL54" s="64">
        <f t="shared" si="259"/>
        <v>25000</v>
      </c>
      <c r="BM54" s="64">
        <f t="shared" si="259"/>
        <v>25000</v>
      </c>
      <c r="BN54" s="64">
        <f t="shared" si="259"/>
        <v>25000</v>
      </c>
    </row>
    <row r="55" spans="2:66" x14ac:dyDescent="0.3">
      <c r="C55" s="25"/>
      <c r="E55" s="1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</row>
    <row r="56" spans="2:66" x14ac:dyDescent="0.3">
      <c r="C56" t="s">
        <v>57</v>
      </c>
      <c r="E56" s="1"/>
      <c r="G56" s="27">
        <f>IF(MOD(MONTH(G$6)-1,3)=0,1,0)+F56</f>
        <v>1</v>
      </c>
      <c r="H56" s="27">
        <f t="shared" ref="H56:AD56" si="260">IF(MOD(MONTH(H$6)-1,3)=0,1,0)+G56</f>
        <v>1</v>
      </c>
      <c r="I56" s="27">
        <f t="shared" si="260"/>
        <v>1</v>
      </c>
      <c r="J56" s="27">
        <f t="shared" si="260"/>
        <v>2</v>
      </c>
      <c r="K56" s="27">
        <f t="shared" si="260"/>
        <v>2</v>
      </c>
      <c r="L56" s="27">
        <f t="shared" si="260"/>
        <v>2</v>
      </c>
      <c r="M56" s="27">
        <f t="shared" si="260"/>
        <v>3</v>
      </c>
      <c r="N56" s="27">
        <f t="shared" si="260"/>
        <v>3</v>
      </c>
      <c r="O56" s="27">
        <f t="shared" si="260"/>
        <v>3</v>
      </c>
      <c r="P56" s="27">
        <f t="shared" si="260"/>
        <v>4</v>
      </c>
      <c r="Q56" s="27">
        <f t="shared" si="260"/>
        <v>4</v>
      </c>
      <c r="R56" s="27">
        <f t="shared" si="260"/>
        <v>4</v>
      </c>
      <c r="S56" s="27">
        <f t="shared" si="260"/>
        <v>5</v>
      </c>
      <c r="T56" s="27">
        <f t="shared" si="260"/>
        <v>5</v>
      </c>
      <c r="U56" s="27">
        <f t="shared" si="260"/>
        <v>5</v>
      </c>
      <c r="V56" s="27">
        <f t="shared" si="260"/>
        <v>6</v>
      </c>
      <c r="W56" s="27">
        <f t="shared" si="260"/>
        <v>6</v>
      </c>
      <c r="X56" s="27">
        <f t="shared" si="260"/>
        <v>6</v>
      </c>
      <c r="Y56" s="27">
        <f t="shared" si="260"/>
        <v>7</v>
      </c>
      <c r="Z56" s="27">
        <f t="shared" si="260"/>
        <v>7</v>
      </c>
      <c r="AA56" s="27">
        <f t="shared" si="260"/>
        <v>7</v>
      </c>
      <c r="AB56" s="27">
        <f t="shared" si="260"/>
        <v>8</v>
      </c>
      <c r="AC56" s="27">
        <f t="shared" si="260"/>
        <v>8</v>
      </c>
      <c r="AD56" s="27">
        <f t="shared" si="260"/>
        <v>8</v>
      </c>
      <c r="AE56" s="27">
        <f t="shared" ref="AE56" si="261">IF(MOD(MONTH(AE$6)-1,3)=0,1,0)+AD56</f>
        <v>9</v>
      </c>
      <c r="AF56" s="27">
        <f t="shared" ref="AF56" si="262">IF(MOD(MONTH(AF$6)-1,3)=0,1,0)+AE56</f>
        <v>9</v>
      </c>
      <c r="AG56" s="27">
        <f t="shared" ref="AG56" si="263">IF(MOD(MONTH(AG$6)-1,3)=0,1,0)+AF56</f>
        <v>9</v>
      </c>
      <c r="AH56" s="27">
        <f t="shared" ref="AH56" si="264">IF(MOD(MONTH(AH$6)-1,3)=0,1,0)+AG56</f>
        <v>10</v>
      </c>
      <c r="AI56" s="27">
        <f t="shared" ref="AI56" si="265">IF(MOD(MONTH(AI$6)-1,3)=0,1,0)+AH56</f>
        <v>10</v>
      </c>
      <c r="AJ56" s="27">
        <f t="shared" ref="AJ56" si="266">IF(MOD(MONTH(AJ$6)-1,3)=0,1,0)+AI56</f>
        <v>10</v>
      </c>
      <c r="AK56" s="27">
        <f t="shared" ref="AK56" si="267">IF(MOD(MONTH(AK$6)-1,3)=0,1,0)+AJ56</f>
        <v>11</v>
      </c>
      <c r="AL56" s="27">
        <f t="shared" ref="AL56" si="268">IF(MOD(MONTH(AL$6)-1,3)=0,1,0)+AK56</f>
        <v>11</v>
      </c>
      <c r="AM56" s="27">
        <f t="shared" ref="AM56" si="269">IF(MOD(MONTH(AM$6)-1,3)=0,1,0)+AL56</f>
        <v>11</v>
      </c>
      <c r="AN56" s="27">
        <f t="shared" ref="AN56" si="270">IF(MOD(MONTH(AN$6)-1,3)=0,1,0)+AM56</f>
        <v>12</v>
      </c>
      <c r="AO56" s="27">
        <f t="shared" ref="AO56" si="271">IF(MOD(MONTH(AO$6)-1,3)=0,1,0)+AN56</f>
        <v>12</v>
      </c>
      <c r="AP56" s="27">
        <f t="shared" ref="AP56" si="272">IF(MOD(MONTH(AP$6)-1,3)=0,1,0)+AO56</f>
        <v>12</v>
      </c>
      <c r="AQ56" s="27">
        <f t="shared" ref="AQ56" si="273">IF(MOD(MONTH(AQ$6)-1,3)=0,1,0)+AP56</f>
        <v>13</v>
      </c>
      <c r="AR56" s="27">
        <f t="shared" ref="AR56" si="274">IF(MOD(MONTH(AR$6)-1,3)=0,1,0)+AQ56</f>
        <v>13</v>
      </c>
      <c r="AS56" s="27">
        <f t="shared" ref="AS56" si="275">IF(MOD(MONTH(AS$6)-1,3)=0,1,0)+AR56</f>
        <v>13</v>
      </c>
      <c r="AT56" s="27">
        <f t="shared" ref="AT56" si="276">IF(MOD(MONTH(AT$6)-1,3)=0,1,0)+AS56</f>
        <v>14</v>
      </c>
      <c r="AU56" s="27">
        <f t="shared" ref="AU56" si="277">IF(MOD(MONTH(AU$6)-1,3)=0,1,0)+AT56</f>
        <v>14</v>
      </c>
      <c r="AV56" s="27">
        <f t="shared" ref="AV56" si="278">IF(MOD(MONTH(AV$6)-1,3)=0,1,0)+AU56</f>
        <v>14</v>
      </c>
      <c r="AW56" s="27">
        <f t="shared" ref="AW56" si="279">IF(MOD(MONTH(AW$6)-1,3)=0,1,0)+AV56</f>
        <v>15</v>
      </c>
      <c r="AX56" s="27">
        <f t="shared" ref="AX56" si="280">IF(MOD(MONTH(AX$6)-1,3)=0,1,0)+AW56</f>
        <v>15</v>
      </c>
      <c r="AY56" s="27">
        <f t="shared" ref="AY56" si="281">IF(MOD(MONTH(AY$6)-1,3)=0,1,0)+AX56</f>
        <v>15</v>
      </c>
      <c r="AZ56" s="27">
        <f t="shared" ref="AZ56" si="282">IF(MOD(MONTH(AZ$6)-1,3)=0,1,0)+AY56</f>
        <v>16</v>
      </c>
      <c r="BA56" s="27">
        <f t="shared" ref="BA56" si="283">IF(MOD(MONTH(BA$6)-1,3)=0,1,0)+AZ56</f>
        <v>16</v>
      </c>
      <c r="BB56" s="27">
        <f t="shared" ref="BB56" si="284">IF(MOD(MONTH(BB$6)-1,3)=0,1,0)+BA56</f>
        <v>16</v>
      </c>
      <c r="BC56" s="27">
        <f t="shared" ref="BC56" si="285">IF(MOD(MONTH(BC$6)-1,3)=0,1,0)+BB56</f>
        <v>17</v>
      </c>
      <c r="BD56" s="27">
        <f t="shared" ref="BD56" si="286">IF(MOD(MONTH(BD$6)-1,3)=0,1,0)+BC56</f>
        <v>17</v>
      </c>
      <c r="BE56" s="27">
        <f t="shared" ref="BE56" si="287">IF(MOD(MONTH(BE$6)-1,3)=0,1,0)+BD56</f>
        <v>17</v>
      </c>
      <c r="BF56" s="27">
        <f t="shared" ref="BF56" si="288">IF(MOD(MONTH(BF$6)-1,3)=0,1,0)+BE56</f>
        <v>18</v>
      </c>
      <c r="BG56" s="27">
        <f t="shared" ref="BG56" si="289">IF(MOD(MONTH(BG$6)-1,3)=0,1,0)+BF56</f>
        <v>18</v>
      </c>
      <c r="BH56" s="27">
        <f t="shared" ref="BH56" si="290">IF(MOD(MONTH(BH$6)-1,3)=0,1,0)+BG56</f>
        <v>18</v>
      </c>
      <c r="BI56" s="27">
        <f t="shared" ref="BI56" si="291">IF(MOD(MONTH(BI$6)-1,3)=0,1,0)+BH56</f>
        <v>19</v>
      </c>
      <c r="BJ56" s="27">
        <f t="shared" ref="BJ56" si="292">IF(MOD(MONTH(BJ$6)-1,3)=0,1,0)+BI56</f>
        <v>19</v>
      </c>
      <c r="BK56" s="27">
        <f t="shared" ref="BK56" si="293">IF(MOD(MONTH(BK$6)-1,3)=0,1,0)+BJ56</f>
        <v>19</v>
      </c>
      <c r="BL56" s="27">
        <f t="shared" ref="BL56" si="294">IF(MOD(MONTH(BL$6)-1,3)=0,1,0)+BK56</f>
        <v>20</v>
      </c>
      <c r="BM56" s="27">
        <f t="shared" ref="BM56" si="295">IF(MOD(MONTH(BM$6)-1,3)=0,1,0)+BL56</f>
        <v>20</v>
      </c>
      <c r="BN56" s="27">
        <f t="shared" ref="BN56" si="296">IF(MOD(MONTH(BN$6)-1,3)=0,1,0)+BM56</f>
        <v>20</v>
      </c>
    </row>
    <row r="57" spans="2:66" x14ac:dyDescent="0.3">
      <c r="C57" t="s">
        <v>59</v>
      </c>
      <c r="E57" s="65">
        <f>Assumptions!$E$32</f>
        <v>180000</v>
      </c>
      <c r="G57" s="37">
        <f t="shared" ref="G57:BN57" si="297">$E57/12</f>
        <v>15000</v>
      </c>
      <c r="H57" s="37">
        <f t="shared" si="297"/>
        <v>15000</v>
      </c>
      <c r="I57" s="37">
        <f t="shared" si="297"/>
        <v>15000</v>
      </c>
      <c r="J57" s="37">
        <f t="shared" si="297"/>
        <v>15000</v>
      </c>
      <c r="K57" s="37">
        <f t="shared" si="297"/>
        <v>15000</v>
      </c>
      <c r="L57" s="37">
        <f t="shared" si="297"/>
        <v>15000</v>
      </c>
      <c r="M57" s="37">
        <f t="shared" si="297"/>
        <v>15000</v>
      </c>
      <c r="N57" s="37">
        <f t="shared" si="297"/>
        <v>15000</v>
      </c>
      <c r="O57" s="37">
        <f t="shared" si="297"/>
        <v>15000</v>
      </c>
      <c r="P57" s="37">
        <f t="shared" si="297"/>
        <v>15000</v>
      </c>
      <c r="Q57" s="37">
        <f t="shared" si="297"/>
        <v>15000</v>
      </c>
      <c r="R57" s="37">
        <f t="shared" si="297"/>
        <v>15000</v>
      </c>
      <c r="S57" s="37">
        <f t="shared" si="297"/>
        <v>15000</v>
      </c>
      <c r="T57" s="37">
        <f t="shared" si="297"/>
        <v>15000</v>
      </c>
      <c r="U57" s="37">
        <f t="shared" si="297"/>
        <v>15000</v>
      </c>
      <c r="V57" s="37">
        <f t="shared" si="297"/>
        <v>15000</v>
      </c>
      <c r="W57" s="37">
        <f t="shared" si="297"/>
        <v>15000</v>
      </c>
      <c r="X57" s="37">
        <f t="shared" si="297"/>
        <v>15000</v>
      </c>
      <c r="Y57" s="37">
        <f t="shared" si="297"/>
        <v>15000</v>
      </c>
      <c r="Z57" s="37">
        <f t="shared" si="297"/>
        <v>15000</v>
      </c>
      <c r="AA57" s="37">
        <f t="shared" si="297"/>
        <v>15000</v>
      </c>
      <c r="AB57" s="37">
        <f t="shared" si="297"/>
        <v>15000</v>
      </c>
      <c r="AC57" s="37">
        <f t="shared" si="297"/>
        <v>15000</v>
      </c>
      <c r="AD57" s="37">
        <f t="shared" si="297"/>
        <v>15000</v>
      </c>
      <c r="AE57" s="37">
        <f t="shared" si="297"/>
        <v>15000</v>
      </c>
      <c r="AF57" s="37">
        <f t="shared" si="297"/>
        <v>15000</v>
      </c>
      <c r="AG57" s="37">
        <f t="shared" si="297"/>
        <v>15000</v>
      </c>
      <c r="AH57" s="37">
        <f t="shared" si="297"/>
        <v>15000</v>
      </c>
      <c r="AI57" s="37">
        <f t="shared" si="297"/>
        <v>15000</v>
      </c>
      <c r="AJ57" s="37">
        <f t="shared" si="297"/>
        <v>15000</v>
      </c>
      <c r="AK57" s="37">
        <f t="shared" si="297"/>
        <v>15000</v>
      </c>
      <c r="AL57" s="37">
        <f t="shared" si="297"/>
        <v>15000</v>
      </c>
      <c r="AM57" s="37">
        <f t="shared" si="297"/>
        <v>15000</v>
      </c>
      <c r="AN57" s="37">
        <f t="shared" si="297"/>
        <v>15000</v>
      </c>
      <c r="AO57" s="37">
        <f t="shared" si="297"/>
        <v>15000</v>
      </c>
      <c r="AP57" s="37">
        <f t="shared" si="297"/>
        <v>15000</v>
      </c>
      <c r="AQ57" s="37">
        <f t="shared" si="297"/>
        <v>15000</v>
      </c>
      <c r="AR57" s="37">
        <f t="shared" si="297"/>
        <v>15000</v>
      </c>
      <c r="AS57" s="37">
        <f t="shared" si="297"/>
        <v>15000</v>
      </c>
      <c r="AT57" s="37">
        <f t="shared" si="297"/>
        <v>15000</v>
      </c>
      <c r="AU57" s="37">
        <f t="shared" si="297"/>
        <v>15000</v>
      </c>
      <c r="AV57" s="37">
        <f t="shared" si="297"/>
        <v>15000</v>
      </c>
      <c r="AW57" s="37">
        <f t="shared" si="297"/>
        <v>15000</v>
      </c>
      <c r="AX57" s="37">
        <f t="shared" si="297"/>
        <v>15000</v>
      </c>
      <c r="AY57" s="37">
        <f t="shared" si="297"/>
        <v>15000</v>
      </c>
      <c r="AZ57" s="37">
        <f t="shared" si="297"/>
        <v>15000</v>
      </c>
      <c r="BA57" s="37">
        <f t="shared" si="297"/>
        <v>15000</v>
      </c>
      <c r="BB57" s="37">
        <f t="shared" si="297"/>
        <v>15000</v>
      </c>
      <c r="BC57" s="37">
        <f t="shared" si="297"/>
        <v>15000</v>
      </c>
      <c r="BD57" s="37">
        <f t="shared" si="297"/>
        <v>15000</v>
      </c>
      <c r="BE57" s="37">
        <f t="shared" si="297"/>
        <v>15000</v>
      </c>
      <c r="BF57" s="37">
        <f t="shared" si="297"/>
        <v>15000</v>
      </c>
      <c r="BG57" s="37">
        <f t="shared" si="297"/>
        <v>15000</v>
      </c>
      <c r="BH57" s="37">
        <f t="shared" si="297"/>
        <v>15000</v>
      </c>
      <c r="BI57" s="37">
        <f t="shared" si="297"/>
        <v>15000</v>
      </c>
      <c r="BJ57" s="37">
        <f t="shared" si="297"/>
        <v>15000</v>
      </c>
      <c r="BK57" s="37">
        <f t="shared" si="297"/>
        <v>15000</v>
      </c>
      <c r="BL57" s="37">
        <f t="shared" si="297"/>
        <v>15000</v>
      </c>
      <c r="BM57" s="37">
        <f t="shared" si="297"/>
        <v>15000</v>
      </c>
      <c r="BN57" s="37">
        <f t="shared" si="297"/>
        <v>15000</v>
      </c>
    </row>
    <row r="58" spans="2:66" x14ac:dyDescent="0.3">
      <c r="C58" s="11" t="s">
        <v>58</v>
      </c>
      <c r="D58" s="11"/>
      <c r="E58" s="10"/>
      <c r="F58" s="11"/>
      <c r="G58" s="46">
        <f>G57*G56</f>
        <v>15000</v>
      </c>
      <c r="H58" s="46">
        <f t="shared" ref="H58:AD58" si="298">H57*H56</f>
        <v>15000</v>
      </c>
      <c r="I58" s="46">
        <f t="shared" si="298"/>
        <v>15000</v>
      </c>
      <c r="J58" s="46">
        <f t="shared" si="298"/>
        <v>30000</v>
      </c>
      <c r="K58" s="46">
        <f t="shared" si="298"/>
        <v>30000</v>
      </c>
      <c r="L58" s="46">
        <f t="shared" si="298"/>
        <v>30000</v>
      </c>
      <c r="M58" s="46">
        <f t="shared" si="298"/>
        <v>45000</v>
      </c>
      <c r="N58" s="46">
        <f t="shared" si="298"/>
        <v>45000</v>
      </c>
      <c r="O58" s="46">
        <f t="shared" si="298"/>
        <v>45000</v>
      </c>
      <c r="P58" s="46">
        <f t="shared" si="298"/>
        <v>60000</v>
      </c>
      <c r="Q58" s="46">
        <f t="shared" si="298"/>
        <v>60000</v>
      </c>
      <c r="R58" s="46">
        <f t="shared" si="298"/>
        <v>60000</v>
      </c>
      <c r="S58" s="46">
        <f t="shared" si="298"/>
        <v>75000</v>
      </c>
      <c r="T58" s="46">
        <f t="shared" si="298"/>
        <v>75000</v>
      </c>
      <c r="U58" s="46">
        <f t="shared" si="298"/>
        <v>75000</v>
      </c>
      <c r="V58" s="46">
        <f t="shared" si="298"/>
        <v>90000</v>
      </c>
      <c r="W58" s="46">
        <f t="shared" si="298"/>
        <v>90000</v>
      </c>
      <c r="X58" s="46">
        <f t="shared" si="298"/>
        <v>90000</v>
      </c>
      <c r="Y58" s="46">
        <f t="shared" si="298"/>
        <v>105000</v>
      </c>
      <c r="Z58" s="46">
        <f t="shared" si="298"/>
        <v>105000</v>
      </c>
      <c r="AA58" s="46">
        <f t="shared" si="298"/>
        <v>105000</v>
      </c>
      <c r="AB58" s="46">
        <f t="shared" si="298"/>
        <v>120000</v>
      </c>
      <c r="AC58" s="46">
        <f t="shared" si="298"/>
        <v>120000</v>
      </c>
      <c r="AD58" s="46">
        <f t="shared" si="298"/>
        <v>120000</v>
      </c>
      <c r="AE58" s="46">
        <f t="shared" ref="AE58:BN58" si="299">AE57*AE56</f>
        <v>135000</v>
      </c>
      <c r="AF58" s="46">
        <f t="shared" si="299"/>
        <v>135000</v>
      </c>
      <c r="AG58" s="46">
        <f t="shared" si="299"/>
        <v>135000</v>
      </c>
      <c r="AH58" s="46">
        <f t="shared" si="299"/>
        <v>150000</v>
      </c>
      <c r="AI58" s="46">
        <f t="shared" si="299"/>
        <v>150000</v>
      </c>
      <c r="AJ58" s="46">
        <f t="shared" si="299"/>
        <v>150000</v>
      </c>
      <c r="AK58" s="46">
        <f t="shared" si="299"/>
        <v>165000</v>
      </c>
      <c r="AL58" s="46">
        <f t="shared" si="299"/>
        <v>165000</v>
      </c>
      <c r="AM58" s="46">
        <f t="shared" si="299"/>
        <v>165000</v>
      </c>
      <c r="AN58" s="46">
        <f t="shared" si="299"/>
        <v>180000</v>
      </c>
      <c r="AO58" s="46">
        <f t="shared" si="299"/>
        <v>180000</v>
      </c>
      <c r="AP58" s="46">
        <f t="shared" si="299"/>
        <v>180000</v>
      </c>
      <c r="AQ58" s="46">
        <f t="shared" si="299"/>
        <v>195000</v>
      </c>
      <c r="AR58" s="46">
        <f t="shared" si="299"/>
        <v>195000</v>
      </c>
      <c r="AS58" s="46">
        <f t="shared" si="299"/>
        <v>195000</v>
      </c>
      <c r="AT58" s="46">
        <f t="shared" si="299"/>
        <v>210000</v>
      </c>
      <c r="AU58" s="46">
        <f t="shared" si="299"/>
        <v>210000</v>
      </c>
      <c r="AV58" s="46">
        <f t="shared" si="299"/>
        <v>210000</v>
      </c>
      <c r="AW58" s="46">
        <f t="shared" si="299"/>
        <v>225000</v>
      </c>
      <c r="AX58" s="46">
        <f t="shared" si="299"/>
        <v>225000</v>
      </c>
      <c r="AY58" s="46">
        <f t="shared" si="299"/>
        <v>225000</v>
      </c>
      <c r="AZ58" s="46">
        <f t="shared" si="299"/>
        <v>240000</v>
      </c>
      <c r="BA58" s="46">
        <f t="shared" si="299"/>
        <v>240000</v>
      </c>
      <c r="BB58" s="46">
        <f t="shared" si="299"/>
        <v>240000</v>
      </c>
      <c r="BC58" s="46">
        <f t="shared" si="299"/>
        <v>255000</v>
      </c>
      <c r="BD58" s="46">
        <f t="shared" si="299"/>
        <v>255000</v>
      </c>
      <c r="BE58" s="46">
        <f t="shared" si="299"/>
        <v>255000</v>
      </c>
      <c r="BF58" s="46">
        <f t="shared" si="299"/>
        <v>270000</v>
      </c>
      <c r="BG58" s="46">
        <f t="shared" si="299"/>
        <v>270000</v>
      </c>
      <c r="BH58" s="46">
        <f t="shared" si="299"/>
        <v>270000</v>
      </c>
      <c r="BI58" s="46">
        <f t="shared" si="299"/>
        <v>285000</v>
      </c>
      <c r="BJ58" s="46">
        <f t="shared" si="299"/>
        <v>285000</v>
      </c>
      <c r="BK58" s="46">
        <f t="shared" si="299"/>
        <v>285000</v>
      </c>
      <c r="BL58" s="46">
        <f t="shared" si="299"/>
        <v>300000</v>
      </c>
      <c r="BM58" s="46">
        <f t="shared" si="299"/>
        <v>300000</v>
      </c>
      <c r="BN58" s="46">
        <f t="shared" si="299"/>
        <v>300000</v>
      </c>
    </row>
    <row r="59" spans="2:66" x14ac:dyDescent="0.3">
      <c r="C59" s="25"/>
      <c r="E59" s="1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</row>
    <row r="60" spans="2:66" x14ac:dyDescent="0.3">
      <c r="C60" t="s">
        <v>62</v>
      </c>
      <c r="E60" s="67">
        <f>Assumptions!$E$34</f>
        <v>1000</v>
      </c>
      <c r="G60" s="27">
        <f>_xlfn.CEILING.MATH(G$11/$E60,1)</f>
        <v>1</v>
      </c>
      <c r="H60" s="27">
        <f t="shared" ref="H60:BN60" si="300">_xlfn.CEILING.MATH(H$11/$E60,1)</f>
        <v>1</v>
      </c>
      <c r="I60" s="27">
        <f t="shared" si="300"/>
        <v>1</v>
      </c>
      <c r="J60" s="27">
        <f t="shared" si="300"/>
        <v>1</v>
      </c>
      <c r="K60" s="27">
        <f t="shared" si="300"/>
        <v>1</v>
      </c>
      <c r="L60" s="27">
        <f t="shared" si="300"/>
        <v>1</v>
      </c>
      <c r="M60" s="27">
        <f t="shared" si="300"/>
        <v>2</v>
      </c>
      <c r="N60" s="27">
        <f t="shared" si="300"/>
        <v>2</v>
      </c>
      <c r="O60" s="27">
        <f t="shared" si="300"/>
        <v>2</v>
      </c>
      <c r="P60" s="27">
        <f t="shared" si="300"/>
        <v>2</v>
      </c>
      <c r="Q60" s="27">
        <f t="shared" si="300"/>
        <v>2</v>
      </c>
      <c r="R60" s="27">
        <f t="shared" si="300"/>
        <v>3</v>
      </c>
      <c r="S60" s="27">
        <f t="shared" si="300"/>
        <v>3</v>
      </c>
      <c r="T60" s="27">
        <f t="shared" si="300"/>
        <v>3</v>
      </c>
      <c r="U60" s="27">
        <f t="shared" si="300"/>
        <v>3</v>
      </c>
      <c r="V60" s="27">
        <f t="shared" si="300"/>
        <v>4</v>
      </c>
      <c r="W60" s="27">
        <f t="shared" si="300"/>
        <v>4</v>
      </c>
      <c r="X60" s="27">
        <f t="shared" si="300"/>
        <v>4</v>
      </c>
      <c r="Y60" s="27">
        <f t="shared" si="300"/>
        <v>5</v>
      </c>
      <c r="Z60" s="27">
        <f t="shared" si="300"/>
        <v>5</v>
      </c>
      <c r="AA60" s="27">
        <f t="shared" si="300"/>
        <v>5</v>
      </c>
      <c r="AB60" s="27">
        <f t="shared" si="300"/>
        <v>6</v>
      </c>
      <c r="AC60" s="27">
        <f t="shared" si="300"/>
        <v>6</v>
      </c>
      <c r="AD60" s="27">
        <f t="shared" si="300"/>
        <v>7</v>
      </c>
      <c r="AE60" s="27">
        <f t="shared" si="300"/>
        <v>7</v>
      </c>
      <c r="AF60" s="27">
        <f t="shared" si="300"/>
        <v>8</v>
      </c>
      <c r="AG60" s="27">
        <f t="shared" si="300"/>
        <v>9</v>
      </c>
      <c r="AH60" s="27">
        <f t="shared" si="300"/>
        <v>10</v>
      </c>
      <c r="AI60" s="27">
        <f t="shared" si="300"/>
        <v>10</v>
      </c>
      <c r="AJ60" s="27">
        <f t="shared" si="300"/>
        <v>11</v>
      </c>
      <c r="AK60" s="27">
        <f t="shared" si="300"/>
        <v>12</v>
      </c>
      <c r="AL60" s="27">
        <f t="shared" si="300"/>
        <v>13</v>
      </c>
      <c r="AM60" s="27">
        <f t="shared" si="300"/>
        <v>15</v>
      </c>
      <c r="AN60" s="27">
        <f t="shared" si="300"/>
        <v>16</v>
      </c>
      <c r="AO60" s="27">
        <f t="shared" si="300"/>
        <v>17</v>
      </c>
      <c r="AP60" s="27">
        <f t="shared" si="300"/>
        <v>19</v>
      </c>
      <c r="AQ60" s="27">
        <f t="shared" si="300"/>
        <v>20</v>
      </c>
      <c r="AR60" s="27">
        <f t="shared" si="300"/>
        <v>22</v>
      </c>
      <c r="AS60" s="27">
        <f t="shared" si="300"/>
        <v>24</v>
      </c>
      <c r="AT60" s="27">
        <f t="shared" si="300"/>
        <v>26</v>
      </c>
      <c r="AU60" s="27">
        <f t="shared" si="300"/>
        <v>29</v>
      </c>
      <c r="AV60" s="27">
        <f t="shared" si="300"/>
        <v>31</v>
      </c>
      <c r="AW60" s="27">
        <f t="shared" si="300"/>
        <v>34</v>
      </c>
      <c r="AX60" s="27">
        <f t="shared" si="300"/>
        <v>37</v>
      </c>
      <c r="AY60" s="27">
        <f t="shared" si="300"/>
        <v>40</v>
      </c>
      <c r="AZ60" s="27">
        <f t="shared" si="300"/>
        <v>44</v>
      </c>
      <c r="BA60" s="27">
        <f t="shared" si="300"/>
        <v>48</v>
      </c>
      <c r="BB60" s="27">
        <f t="shared" si="300"/>
        <v>52</v>
      </c>
      <c r="BC60" s="27">
        <f t="shared" si="300"/>
        <v>57</v>
      </c>
      <c r="BD60" s="27">
        <f t="shared" si="300"/>
        <v>62</v>
      </c>
      <c r="BE60" s="27">
        <f t="shared" si="300"/>
        <v>67</v>
      </c>
      <c r="BF60" s="27">
        <f t="shared" si="300"/>
        <v>74</v>
      </c>
      <c r="BG60" s="27">
        <f t="shared" si="300"/>
        <v>80</v>
      </c>
      <c r="BH60" s="27">
        <f t="shared" si="300"/>
        <v>88</v>
      </c>
      <c r="BI60" s="27">
        <f t="shared" si="300"/>
        <v>96</v>
      </c>
      <c r="BJ60" s="27">
        <f t="shared" si="300"/>
        <v>104</v>
      </c>
      <c r="BK60" s="27">
        <f t="shared" si="300"/>
        <v>114</v>
      </c>
      <c r="BL60" s="27">
        <f t="shared" si="300"/>
        <v>124</v>
      </c>
      <c r="BM60" s="27">
        <f t="shared" si="300"/>
        <v>136</v>
      </c>
      <c r="BN60" s="27">
        <f t="shared" si="300"/>
        <v>148</v>
      </c>
    </row>
    <row r="61" spans="2:66" x14ac:dyDescent="0.3">
      <c r="C61" t="s">
        <v>63</v>
      </c>
      <c r="E61" s="65">
        <f>Assumptions!$E$33</f>
        <v>60000</v>
      </c>
      <c r="G61" s="37">
        <f>$E61/12</f>
        <v>5000</v>
      </c>
      <c r="H61" s="37">
        <f t="shared" ref="H61:BN61" si="301">$E61/12</f>
        <v>5000</v>
      </c>
      <c r="I61" s="37">
        <f t="shared" si="301"/>
        <v>5000</v>
      </c>
      <c r="J61" s="37">
        <f t="shared" si="301"/>
        <v>5000</v>
      </c>
      <c r="K61" s="37">
        <f t="shared" si="301"/>
        <v>5000</v>
      </c>
      <c r="L61" s="37">
        <f t="shared" si="301"/>
        <v>5000</v>
      </c>
      <c r="M61" s="37">
        <f t="shared" si="301"/>
        <v>5000</v>
      </c>
      <c r="N61" s="37">
        <f t="shared" si="301"/>
        <v>5000</v>
      </c>
      <c r="O61" s="37">
        <f t="shared" si="301"/>
        <v>5000</v>
      </c>
      <c r="P61" s="37">
        <f t="shared" si="301"/>
        <v>5000</v>
      </c>
      <c r="Q61" s="37">
        <f t="shared" si="301"/>
        <v>5000</v>
      </c>
      <c r="R61" s="37">
        <f t="shared" si="301"/>
        <v>5000</v>
      </c>
      <c r="S61" s="37">
        <f t="shared" si="301"/>
        <v>5000</v>
      </c>
      <c r="T61" s="37">
        <f t="shared" si="301"/>
        <v>5000</v>
      </c>
      <c r="U61" s="37">
        <f t="shared" si="301"/>
        <v>5000</v>
      </c>
      <c r="V61" s="37">
        <f t="shared" si="301"/>
        <v>5000</v>
      </c>
      <c r="W61" s="37">
        <f t="shared" si="301"/>
        <v>5000</v>
      </c>
      <c r="X61" s="37">
        <f t="shared" si="301"/>
        <v>5000</v>
      </c>
      <c r="Y61" s="37">
        <f t="shared" si="301"/>
        <v>5000</v>
      </c>
      <c r="Z61" s="37">
        <f t="shared" si="301"/>
        <v>5000</v>
      </c>
      <c r="AA61" s="37">
        <f t="shared" si="301"/>
        <v>5000</v>
      </c>
      <c r="AB61" s="37">
        <f t="shared" si="301"/>
        <v>5000</v>
      </c>
      <c r="AC61" s="37">
        <f t="shared" si="301"/>
        <v>5000</v>
      </c>
      <c r="AD61" s="37">
        <f t="shared" si="301"/>
        <v>5000</v>
      </c>
      <c r="AE61" s="37">
        <f t="shared" si="301"/>
        <v>5000</v>
      </c>
      <c r="AF61" s="37">
        <f t="shared" si="301"/>
        <v>5000</v>
      </c>
      <c r="AG61" s="37">
        <f t="shared" si="301"/>
        <v>5000</v>
      </c>
      <c r="AH61" s="37">
        <f t="shared" si="301"/>
        <v>5000</v>
      </c>
      <c r="AI61" s="37">
        <f t="shared" si="301"/>
        <v>5000</v>
      </c>
      <c r="AJ61" s="37">
        <f t="shared" si="301"/>
        <v>5000</v>
      </c>
      <c r="AK61" s="37">
        <f t="shared" si="301"/>
        <v>5000</v>
      </c>
      <c r="AL61" s="37">
        <f t="shared" si="301"/>
        <v>5000</v>
      </c>
      <c r="AM61" s="37">
        <f t="shared" si="301"/>
        <v>5000</v>
      </c>
      <c r="AN61" s="37">
        <f t="shared" si="301"/>
        <v>5000</v>
      </c>
      <c r="AO61" s="37">
        <f t="shared" si="301"/>
        <v>5000</v>
      </c>
      <c r="AP61" s="37">
        <f t="shared" si="301"/>
        <v>5000</v>
      </c>
      <c r="AQ61" s="37">
        <f t="shared" si="301"/>
        <v>5000</v>
      </c>
      <c r="AR61" s="37">
        <f t="shared" si="301"/>
        <v>5000</v>
      </c>
      <c r="AS61" s="37">
        <f t="shared" si="301"/>
        <v>5000</v>
      </c>
      <c r="AT61" s="37">
        <f t="shared" si="301"/>
        <v>5000</v>
      </c>
      <c r="AU61" s="37">
        <f t="shared" si="301"/>
        <v>5000</v>
      </c>
      <c r="AV61" s="37">
        <f t="shared" si="301"/>
        <v>5000</v>
      </c>
      <c r="AW61" s="37">
        <f t="shared" si="301"/>
        <v>5000</v>
      </c>
      <c r="AX61" s="37">
        <f t="shared" si="301"/>
        <v>5000</v>
      </c>
      <c r="AY61" s="37">
        <f t="shared" si="301"/>
        <v>5000</v>
      </c>
      <c r="AZ61" s="37">
        <f t="shared" si="301"/>
        <v>5000</v>
      </c>
      <c r="BA61" s="37">
        <f t="shared" si="301"/>
        <v>5000</v>
      </c>
      <c r="BB61" s="37">
        <f t="shared" si="301"/>
        <v>5000</v>
      </c>
      <c r="BC61" s="37">
        <f t="shared" si="301"/>
        <v>5000</v>
      </c>
      <c r="BD61" s="37">
        <f t="shared" si="301"/>
        <v>5000</v>
      </c>
      <c r="BE61" s="37">
        <f t="shared" si="301"/>
        <v>5000</v>
      </c>
      <c r="BF61" s="37">
        <f t="shared" si="301"/>
        <v>5000</v>
      </c>
      <c r="BG61" s="37">
        <f t="shared" si="301"/>
        <v>5000</v>
      </c>
      <c r="BH61" s="37">
        <f t="shared" si="301"/>
        <v>5000</v>
      </c>
      <c r="BI61" s="37">
        <f t="shared" si="301"/>
        <v>5000</v>
      </c>
      <c r="BJ61" s="37">
        <f t="shared" si="301"/>
        <v>5000</v>
      </c>
      <c r="BK61" s="37">
        <f t="shared" si="301"/>
        <v>5000</v>
      </c>
      <c r="BL61" s="37">
        <f t="shared" si="301"/>
        <v>5000</v>
      </c>
      <c r="BM61" s="37">
        <f t="shared" si="301"/>
        <v>5000</v>
      </c>
      <c r="BN61" s="37">
        <f t="shared" si="301"/>
        <v>5000</v>
      </c>
    </row>
    <row r="62" spans="2:66" x14ac:dyDescent="0.3">
      <c r="C62" s="11" t="s">
        <v>64</v>
      </c>
      <c r="D62" s="11"/>
      <c r="E62" s="10"/>
      <c r="F62" s="11"/>
      <c r="G62" s="46">
        <f>G61*G60</f>
        <v>5000</v>
      </c>
      <c r="H62" s="46">
        <f t="shared" ref="H62:AD62" si="302">H61*H60</f>
        <v>5000</v>
      </c>
      <c r="I62" s="46">
        <f t="shared" si="302"/>
        <v>5000</v>
      </c>
      <c r="J62" s="46">
        <f t="shared" si="302"/>
        <v>5000</v>
      </c>
      <c r="K62" s="46">
        <f t="shared" si="302"/>
        <v>5000</v>
      </c>
      <c r="L62" s="46">
        <f t="shared" si="302"/>
        <v>5000</v>
      </c>
      <c r="M62" s="46">
        <f t="shared" si="302"/>
        <v>10000</v>
      </c>
      <c r="N62" s="46">
        <f t="shared" si="302"/>
        <v>10000</v>
      </c>
      <c r="O62" s="46">
        <f t="shared" si="302"/>
        <v>10000</v>
      </c>
      <c r="P62" s="46">
        <f t="shared" si="302"/>
        <v>10000</v>
      </c>
      <c r="Q62" s="46">
        <f t="shared" si="302"/>
        <v>10000</v>
      </c>
      <c r="R62" s="46">
        <f t="shared" si="302"/>
        <v>15000</v>
      </c>
      <c r="S62" s="46">
        <f t="shared" si="302"/>
        <v>15000</v>
      </c>
      <c r="T62" s="46">
        <f t="shared" si="302"/>
        <v>15000</v>
      </c>
      <c r="U62" s="46">
        <f t="shared" si="302"/>
        <v>15000</v>
      </c>
      <c r="V62" s="46">
        <f t="shared" si="302"/>
        <v>20000</v>
      </c>
      <c r="W62" s="46">
        <f t="shared" si="302"/>
        <v>20000</v>
      </c>
      <c r="X62" s="46">
        <f t="shared" si="302"/>
        <v>20000</v>
      </c>
      <c r="Y62" s="46">
        <f t="shared" si="302"/>
        <v>25000</v>
      </c>
      <c r="Z62" s="46">
        <f t="shared" si="302"/>
        <v>25000</v>
      </c>
      <c r="AA62" s="46">
        <f t="shared" si="302"/>
        <v>25000</v>
      </c>
      <c r="AB62" s="46">
        <f t="shared" si="302"/>
        <v>30000</v>
      </c>
      <c r="AC62" s="46">
        <f t="shared" si="302"/>
        <v>30000</v>
      </c>
      <c r="AD62" s="46">
        <f t="shared" si="302"/>
        <v>35000</v>
      </c>
      <c r="AE62" s="46">
        <f t="shared" ref="AE62:BN62" si="303">AE61*AE60</f>
        <v>35000</v>
      </c>
      <c r="AF62" s="46">
        <f t="shared" si="303"/>
        <v>40000</v>
      </c>
      <c r="AG62" s="46">
        <f t="shared" si="303"/>
        <v>45000</v>
      </c>
      <c r="AH62" s="46">
        <f t="shared" si="303"/>
        <v>50000</v>
      </c>
      <c r="AI62" s="46">
        <f t="shared" si="303"/>
        <v>50000</v>
      </c>
      <c r="AJ62" s="46">
        <f t="shared" si="303"/>
        <v>55000</v>
      </c>
      <c r="AK62" s="46">
        <f t="shared" si="303"/>
        <v>60000</v>
      </c>
      <c r="AL62" s="46">
        <f t="shared" si="303"/>
        <v>65000</v>
      </c>
      <c r="AM62" s="46">
        <f t="shared" si="303"/>
        <v>75000</v>
      </c>
      <c r="AN62" s="46">
        <f t="shared" si="303"/>
        <v>80000</v>
      </c>
      <c r="AO62" s="46">
        <f t="shared" si="303"/>
        <v>85000</v>
      </c>
      <c r="AP62" s="46">
        <f t="shared" si="303"/>
        <v>95000</v>
      </c>
      <c r="AQ62" s="46">
        <f t="shared" si="303"/>
        <v>100000</v>
      </c>
      <c r="AR62" s="46">
        <f t="shared" si="303"/>
        <v>110000</v>
      </c>
      <c r="AS62" s="46">
        <f t="shared" si="303"/>
        <v>120000</v>
      </c>
      <c r="AT62" s="46">
        <f t="shared" si="303"/>
        <v>130000</v>
      </c>
      <c r="AU62" s="46">
        <f t="shared" si="303"/>
        <v>145000</v>
      </c>
      <c r="AV62" s="46">
        <f t="shared" si="303"/>
        <v>155000</v>
      </c>
      <c r="AW62" s="46">
        <f t="shared" si="303"/>
        <v>170000</v>
      </c>
      <c r="AX62" s="46">
        <f t="shared" si="303"/>
        <v>185000</v>
      </c>
      <c r="AY62" s="46">
        <f t="shared" si="303"/>
        <v>200000</v>
      </c>
      <c r="AZ62" s="46">
        <f t="shared" si="303"/>
        <v>220000</v>
      </c>
      <c r="BA62" s="46">
        <f t="shared" si="303"/>
        <v>240000</v>
      </c>
      <c r="BB62" s="46">
        <f t="shared" si="303"/>
        <v>260000</v>
      </c>
      <c r="BC62" s="46">
        <f t="shared" si="303"/>
        <v>285000</v>
      </c>
      <c r="BD62" s="46">
        <f t="shared" si="303"/>
        <v>310000</v>
      </c>
      <c r="BE62" s="46">
        <f t="shared" si="303"/>
        <v>335000</v>
      </c>
      <c r="BF62" s="46">
        <f t="shared" si="303"/>
        <v>370000</v>
      </c>
      <c r="BG62" s="46">
        <f t="shared" si="303"/>
        <v>400000</v>
      </c>
      <c r="BH62" s="46">
        <f t="shared" si="303"/>
        <v>440000</v>
      </c>
      <c r="BI62" s="46">
        <f t="shared" si="303"/>
        <v>480000</v>
      </c>
      <c r="BJ62" s="46">
        <f t="shared" si="303"/>
        <v>520000</v>
      </c>
      <c r="BK62" s="46">
        <f t="shared" si="303"/>
        <v>570000</v>
      </c>
      <c r="BL62" s="46">
        <f t="shared" si="303"/>
        <v>620000</v>
      </c>
      <c r="BM62" s="46">
        <f t="shared" si="303"/>
        <v>680000</v>
      </c>
      <c r="BN62" s="46">
        <f t="shared" si="303"/>
        <v>740000</v>
      </c>
    </row>
    <row r="63" spans="2:66" x14ac:dyDescent="0.3">
      <c r="C63" s="25"/>
      <c r="E63" s="1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</row>
    <row r="64" spans="2:66" x14ac:dyDescent="0.3">
      <c r="C64" t="s">
        <v>66</v>
      </c>
      <c r="E64" s="65">
        <f>Assumptions!$E$36</f>
        <v>500000</v>
      </c>
      <c r="G64" s="27">
        <f>_xlfn.FLOOR.MATH(G$23/$E64,1)</f>
        <v>0</v>
      </c>
      <c r="H64" s="27">
        <f t="shared" ref="H64:BN64" si="304">_xlfn.FLOOR.MATH(H$23/$E64,1)</f>
        <v>0</v>
      </c>
      <c r="I64" s="27">
        <f t="shared" si="304"/>
        <v>0</v>
      </c>
      <c r="J64" s="27">
        <f t="shared" si="304"/>
        <v>0</v>
      </c>
      <c r="K64" s="27">
        <f t="shared" si="304"/>
        <v>0</v>
      </c>
      <c r="L64" s="27">
        <f t="shared" si="304"/>
        <v>0</v>
      </c>
      <c r="M64" s="27">
        <f t="shared" si="304"/>
        <v>0</v>
      </c>
      <c r="N64" s="27">
        <f t="shared" si="304"/>
        <v>0</v>
      </c>
      <c r="O64" s="27">
        <f t="shared" si="304"/>
        <v>0</v>
      </c>
      <c r="P64" s="27">
        <f t="shared" si="304"/>
        <v>1</v>
      </c>
      <c r="Q64" s="27">
        <f t="shared" si="304"/>
        <v>1</v>
      </c>
      <c r="R64" s="27">
        <f t="shared" si="304"/>
        <v>1</v>
      </c>
      <c r="S64" s="27">
        <f t="shared" si="304"/>
        <v>1</v>
      </c>
      <c r="T64" s="27">
        <f t="shared" si="304"/>
        <v>1</v>
      </c>
      <c r="U64" s="27">
        <f t="shared" si="304"/>
        <v>1</v>
      </c>
      <c r="V64" s="27">
        <f t="shared" si="304"/>
        <v>2</v>
      </c>
      <c r="W64" s="27">
        <f t="shared" si="304"/>
        <v>2</v>
      </c>
      <c r="X64" s="27">
        <f t="shared" si="304"/>
        <v>2</v>
      </c>
      <c r="Y64" s="27">
        <f t="shared" si="304"/>
        <v>2</v>
      </c>
      <c r="Z64" s="27">
        <f t="shared" si="304"/>
        <v>3</v>
      </c>
      <c r="AA64" s="27">
        <f t="shared" si="304"/>
        <v>3</v>
      </c>
      <c r="AB64" s="27">
        <f t="shared" si="304"/>
        <v>3</v>
      </c>
      <c r="AC64" s="27">
        <f t="shared" si="304"/>
        <v>4</v>
      </c>
      <c r="AD64" s="27">
        <f t="shared" si="304"/>
        <v>4</v>
      </c>
      <c r="AE64" s="27">
        <f t="shared" si="304"/>
        <v>4</v>
      </c>
      <c r="AF64" s="27">
        <f t="shared" si="304"/>
        <v>5</v>
      </c>
      <c r="AG64" s="27">
        <f t="shared" si="304"/>
        <v>5</v>
      </c>
      <c r="AH64" s="27">
        <f t="shared" si="304"/>
        <v>6</v>
      </c>
      <c r="AI64" s="27">
        <f t="shared" si="304"/>
        <v>6</v>
      </c>
      <c r="AJ64" s="27">
        <f t="shared" si="304"/>
        <v>7</v>
      </c>
      <c r="AK64" s="27">
        <f t="shared" si="304"/>
        <v>8</v>
      </c>
      <c r="AL64" s="27">
        <f t="shared" si="304"/>
        <v>8</v>
      </c>
      <c r="AM64" s="27">
        <f t="shared" si="304"/>
        <v>9</v>
      </c>
      <c r="AN64" s="27">
        <f t="shared" si="304"/>
        <v>10</v>
      </c>
      <c r="AO64" s="27">
        <f t="shared" si="304"/>
        <v>11</v>
      </c>
      <c r="AP64" s="27">
        <f t="shared" si="304"/>
        <v>12</v>
      </c>
      <c r="AQ64" s="27">
        <f t="shared" si="304"/>
        <v>13</v>
      </c>
      <c r="AR64" s="27">
        <f t="shared" si="304"/>
        <v>14</v>
      </c>
      <c r="AS64" s="27">
        <f t="shared" si="304"/>
        <v>15</v>
      </c>
      <c r="AT64" s="27">
        <f t="shared" si="304"/>
        <v>17</v>
      </c>
      <c r="AU64" s="27">
        <f t="shared" si="304"/>
        <v>18</v>
      </c>
      <c r="AV64" s="27">
        <f t="shared" si="304"/>
        <v>20</v>
      </c>
      <c r="AW64" s="27">
        <f t="shared" si="304"/>
        <v>22</v>
      </c>
      <c r="AX64" s="27">
        <f t="shared" si="304"/>
        <v>24</v>
      </c>
      <c r="AY64" s="27">
        <f t="shared" si="304"/>
        <v>26</v>
      </c>
      <c r="AZ64" s="27">
        <f t="shared" si="304"/>
        <v>29</v>
      </c>
      <c r="BA64" s="27">
        <f t="shared" si="304"/>
        <v>31</v>
      </c>
      <c r="BB64" s="27">
        <f t="shared" si="304"/>
        <v>34</v>
      </c>
      <c r="BC64" s="27">
        <f t="shared" si="304"/>
        <v>37</v>
      </c>
      <c r="BD64" s="27">
        <f t="shared" si="304"/>
        <v>41</v>
      </c>
      <c r="BE64" s="27">
        <f t="shared" si="304"/>
        <v>45</v>
      </c>
      <c r="BF64" s="27">
        <f t="shared" si="304"/>
        <v>49</v>
      </c>
      <c r="BG64" s="27">
        <f t="shared" si="304"/>
        <v>53</v>
      </c>
      <c r="BH64" s="27">
        <f t="shared" si="304"/>
        <v>58</v>
      </c>
      <c r="BI64" s="27">
        <f t="shared" si="304"/>
        <v>64</v>
      </c>
      <c r="BJ64" s="27">
        <f t="shared" si="304"/>
        <v>70</v>
      </c>
      <c r="BK64" s="27">
        <f t="shared" si="304"/>
        <v>76</v>
      </c>
      <c r="BL64" s="27">
        <f t="shared" si="304"/>
        <v>84</v>
      </c>
      <c r="BM64" s="27">
        <f t="shared" si="304"/>
        <v>92</v>
      </c>
      <c r="BN64" s="27">
        <f t="shared" si="304"/>
        <v>100</v>
      </c>
    </row>
    <row r="65" spans="2:66" x14ac:dyDescent="0.3">
      <c r="C65" t="s">
        <v>67</v>
      </c>
      <c r="E65" s="65">
        <f>Assumptions!$E$35</f>
        <v>180000</v>
      </c>
      <c r="G65" s="37">
        <f>$E65/12</f>
        <v>15000</v>
      </c>
      <c r="H65" s="37">
        <f t="shared" ref="H65:BN65" si="305">$E65/12</f>
        <v>15000</v>
      </c>
      <c r="I65" s="37">
        <f t="shared" si="305"/>
        <v>15000</v>
      </c>
      <c r="J65" s="37">
        <f t="shared" si="305"/>
        <v>15000</v>
      </c>
      <c r="K65" s="37">
        <f t="shared" si="305"/>
        <v>15000</v>
      </c>
      <c r="L65" s="37">
        <f t="shared" si="305"/>
        <v>15000</v>
      </c>
      <c r="M65" s="37">
        <f t="shared" si="305"/>
        <v>15000</v>
      </c>
      <c r="N65" s="37">
        <f t="shared" si="305"/>
        <v>15000</v>
      </c>
      <c r="O65" s="37">
        <f t="shared" si="305"/>
        <v>15000</v>
      </c>
      <c r="P65" s="37">
        <f t="shared" si="305"/>
        <v>15000</v>
      </c>
      <c r="Q65" s="37">
        <f t="shared" si="305"/>
        <v>15000</v>
      </c>
      <c r="R65" s="37">
        <f t="shared" si="305"/>
        <v>15000</v>
      </c>
      <c r="S65" s="37">
        <f t="shared" si="305"/>
        <v>15000</v>
      </c>
      <c r="T65" s="37">
        <f t="shared" si="305"/>
        <v>15000</v>
      </c>
      <c r="U65" s="37">
        <f t="shared" si="305"/>
        <v>15000</v>
      </c>
      <c r="V65" s="37">
        <f t="shared" si="305"/>
        <v>15000</v>
      </c>
      <c r="W65" s="37">
        <f t="shared" si="305"/>
        <v>15000</v>
      </c>
      <c r="X65" s="37">
        <f t="shared" si="305"/>
        <v>15000</v>
      </c>
      <c r="Y65" s="37">
        <f t="shared" si="305"/>
        <v>15000</v>
      </c>
      <c r="Z65" s="37">
        <f t="shared" si="305"/>
        <v>15000</v>
      </c>
      <c r="AA65" s="37">
        <f t="shared" si="305"/>
        <v>15000</v>
      </c>
      <c r="AB65" s="37">
        <f t="shared" si="305"/>
        <v>15000</v>
      </c>
      <c r="AC65" s="37">
        <f t="shared" si="305"/>
        <v>15000</v>
      </c>
      <c r="AD65" s="37">
        <f t="shared" si="305"/>
        <v>15000</v>
      </c>
      <c r="AE65" s="37">
        <f t="shared" si="305"/>
        <v>15000</v>
      </c>
      <c r="AF65" s="37">
        <f t="shared" si="305"/>
        <v>15000</v>
      </c>
      <c r="AG65" s="37">
        <f t="shared" si="305"/>
        <v>15000</v>
      </c>
      <c r="AH65" s="37">
        <f t="shared" si="305"/>
        <v>15000</v>
      </c>
      <c r="AI65" s="37">
        <f t="shared" si="305"/>
        <v>15000</v>
      </c>
      <c r="AJ65" s="37">
        <f t="shared" si="305"/>
        <v>15000</v>
      </c>
      <c r="AK65" s="37">
        <f t="shared" si="305"/>
        <v>15000</v>
      </c>
      <c r="AL65" s="37">
        <f t="shared" si="305"/>
        <v>15000</v>
      </c>
      <c r="AM65" s="37">
        <f t="shared" si="305"/>
        <v>15000</v>
      </c>
      <c r="AN65" s="37">
        <f t="shared" si="305"/>
        <v>15000</v>
      </c>
      <c r="AO65" s="37">
        <f t="shared" si="305"/>
        <v>15000</v>
      </c>
      <c r="AP65" s="37">
        <f t="shared" si="305"/>
        <v>15000</v>
      </c>
      <c r="AQ65" s="37">
        <f t="shared" si="305"/>
        <v>15000</v>
      </c>
      <c r="AR65" s="37">
        <f t="shared" si="305"/>
        <v>15000</v>
      </c>
      <c r="AS65" s="37">
        <f t="shared" si="305"/>
        <v>15000</v>
      </c>
      <c r="AT65" s="37">
        <f t="shared" si="305"/>
        <v>15000</v>
      </c>
      <c r="AU65" s="37">
        <f t="shared" si="305"/>
        <v>15000</v>
      </c>
      <c r="AV65" s="37">
        <f t="shared" si="305"/>
        <v>15000</v>
      </c>
      <c r="AW65" s="37">
        <f t="shared" si="305"/>
        <v>15000</v>
      </c>
      <c r="AX65" s="37">
        <f t="shared" si="305"/>
        <v>15000</v>
      </c>
      <c r="AY65" s="37">
        <f t="shared" si="305"/>
        <v>15000</v>
      </c>
      <c r="AZ65" s="37">
        <f t="shared" si="305"/>
        <v>15000</v>
      </c>
      <c r="BA65" s="37">
        <f t="shared" si="305"/>
        <v>15000</v>
      </c>
      <c r="BB65" s="37">
        <f t="shared" si="305"/>
        <v>15000</v>
      </c>
      <c r="BC65" s="37">
        <f t="shared" si="305"/>
        <v>15000</v>
      </c>
      <c r="BD65" s="37">
        <f t="shared" si="305"/>
        <v>15000</v>
      </c>
      <c r="BE65" s="37">
        <f t="shared" si="305"/>
        <v>15000</v>
      </c>
      <c r="BF65" s="37">
        <f t="shared" si="305"/>
        <v>15000</v>
      </c>
      <c r="BG65" s="37">
        <f t="shared" si="305"/>
        <v>15000</v>
      </c>
      <c r="BH65" s="37">
        <f t="shared" si="305"/>
        <v>15000</v>
      </c>
      <c r="BI65" s="37">
        <f t="shared" si="305"/>
        <v>15000</v>
      </c>
      <c r="BJ65" s="37">
        <f t="shared" si="305"/>
        <v>15000</v>
      </c>
      <c r="BK65" s="37">
        <f t="shared" si="305"/>
        <v>15000</v>
      </c>
      <c r="BL65" s="37">
        <f t="shared" si="305"/>
        <v>15000</v>
      </c>
      <c r="BM65" s="37">
        <f t="shared" si="305"/>
        <v>15000</v>
      </c>
      <c r="BN65" s="37">
        <f t="shared" si="305"/>
        <v>15000</v>
      </c>
    </row>
    <row r="66" spans="2:66" x14ac:dyDescent="0.3">
      <c r="C66" s="11" t="s">
        <v>68</v>
      </c>
      <c r="D66" s="11"/>
      <c r="E66" s="11"/>
      <c r="F66" s="11"/>
      <c r="G66" s="46">
        <f>G65*G64</f>
        <v>0</v>
      </c>
      <c r="H66" s="46">
        <f t="shared" ref="H66:AD66" si="306">H65*H64</f>
        <v>0</v>
      </c>
      <c r="I66" s="46">
        <f t="shared" si="306"/>
        <v>0</v>
      </c>
      <c r="J66" s="46">
        <f t="shared" si="306"/>
        <v>0</v>
      </c>
      <c r="K66" s="46">
        <f t="shared" si="306"/>
        <v>0</v>
      </c>
      <c r="L66" s="46">
        <f t="shared" si="306"/>
        <v>0</v>
      </c>
      <c r="M66" s="46">
        <f t="shared" si="306"/>
        <v>0</v>
      </c>
      <c r="N66" s="46">
        <f t="shared" si="306"/>
        <v>0</v>
      </c>
      <c r="O66" s="46">
        <f t="shared" si="306"/>
        <v>0</v>
      </c>
      <c r="P66" s="46">
        <f t="shared" si="306"/>
        <v>15000</v>
      </c>
      <c r="Q66" s="46">
        <f t="shared" si="306"/>
        <v>15000</v>
      </c>
      <c r="R66" s="46">
        <f t="shared" si="306"/>
        <v>15000</v>
      </c>
      <c r="S66" s="46">
        <f t="shared" si="306"/>
        <v>15000</v>
      </c>
      <c r="T66" s="46">
        <f t="shared" si="306"/>
        <v>15000</v>
      </c>
      <c r="U66" s="46">
        <f t="shared" si="306"/>
        <v>15000</v>
      </c>
      <c r="V66" s="46">
        <f t="shared" si="306"/>
        <v>30000</v>
      </c>
      <c r="W66" s="46">
        <f t="shared" si="306"/>
        <v>30000</v>
      </c>
      <c r="X66" s="46">
        <f t="shared" si="306"/>
        <v>30000</v>
      </c>
      <c r="Y66" s="46">
        <f t="shared" si="306"/>
        <v>30000</v>
      </c>
      <c r="Z66" s="46">
        <f t="shared" si="306"/>
        <v>45000</v>
      </c>
      <c r="AA66" s="46">
        <f t="shared" si="306"/>
        <v>45000</v>
      </c>
      <c r="AB66" s="46">
        <f t="shared" si="306"/>
        <v>45000</v>
      </c>
      <c r="AC66" s="46">
        <f t="shared" si="306"/>
        <v>60000</v>
      </c>
      <c r="AD66" s="46">
        <f t="shared" si="306"/>
        <v>60000</v>
      </c>
      <c r="AE66" s="46">
        <f t="shared" ref="AE66:BN66" si="307">AE65*AE64</f>
        <v>60000</v>
      </c>
      <c r="AF66" s="46">
        <f t="shared" si="307"/>
        <v>75000</v>
      </c>
      <c r="AG66" s="46">
        <f t="shared" si="307"/>
        <v>75000</v>
      </c>
      <c r="AH66" s="46">
        <f t="shared" si="307"/>
        <v>90000</v>
      </c>
      <c r="AI66" s="46">
        <f t="shared" si="307"/>
        <v>90000</v>
      </c>
      <c r="AJ66" s="46">
        <f t="shared" si="307"/>
        <v>105000</v>
      </c>
      <c r="AK66" s="46">
        <f t="shared" si="307"/>
        <v>120000</v>
      </c>
      <c r="AL66" s="46">
        <f t="shared" si="307"/>
        <v>120000</v>
      </c>
      <c r="AM66" s="46">
        <f t="shared" si="307"/>
        <v>135000</v>
      </c>
      <c r="AN66" s="46">
        <f t="shared" si="307"/>
        <v>150000</v>
      </c>
      <c r="AO66" s="46">
        <f t="shared" si="307"/>
        <v>165000</v>
      </c>
      <c r="AP66" s="46">
        <f t="shared" si="307"/>
        <v>180000</v>
      </c>
      <c r="AQ66" s="46">
        <f t="shared" si="307"/>
        <v>195000</v>
      </c>
      <c r="AR66" s="46">
        <f t="shared" si="307"/>
        <v>210000</v>
      </c>
      <c r="AS66" s="46">
        <f t="shared" si="307"/>
        <v>225000</v>
      </c>
      <c r="AT66" s="46">
        <f t="shared" si="307"/>
        <v>255000</v>
      </c>
      <c r="AU66" s="46">
        <f t="shared" si="307"/>
        <v>270000</v>
      </c>
      <c r="AV66" s="46">
        <f t="shared" si="307"/>
        <v>300000</v>
      </c>
      <c r="AW66" s="46">
        <f t="shared" si="307"/>
        <v>330000</v>
      </c>
      <c r="AX66" s="46">
        <f t="shared" si="307"/>
        <v>360000</v>
      </c>
      <c r="AY66" s="46">
        <f t="shared" si="307"/>
        <v>390000</v>
      </c>
      <c r="AZ66" s="46">
        <f t="shared" si="307"/>
        <v>435000</v>
      </c>
      <c r="BA66" s="46">
        <f t="shared" si="307"/>
        <v>465000</v>
      </c>
      <c r="BB66" s="46">
        <f t="shared" si="307"/>
        <v>510000</v>
      </c>
      <c r="BC66" s="46">
        <f t="shared" si="307"/>
        <v>555000</v>
      </c>
      <c r="BD66" s="46">
        <f t="shared" si="307"/>
        <v>615000</v>
      </c>
      <c r="BE66" s="46">
        <f t="shared" si="307"/>
        <v>675000</v>
      </c>
      <c r="BF66" s="46">
        <f t="shared" si="307"/>
        <v>735000</v>
      </c>
      <c r="BG66" s="46">
        <f t="shared" si="307"/>
        <v>795000</v>
      </c>
      <c r="BH66" s="46">
        <f t="shared" si="307"/>
        <v>870000</v>
      </c>
      <c r="BI66" s="46">
        <f t="shared" si="307"/>
        <v>960000</v>
      </c>
      <c r="BJ66" s="46">
        <f t="shared" si="307"/>
        <v>1050000</v>
      </c>
      <c r="BK66" s="46">
        <f t="shared" si="307"/>
        <v>1140000</v>
      </c>
      <c r="BL66" s="46">
        <f t="shared" si="307"/>
        <v>1260000</v>
      </c>
      <c r="BM66" s="46">
        <f t="shared" si="307"/>
        <v>1380000</v>
      </c>
      <c r="BN66" s="46">
        <f t="shared" si="307"/>
        <v>1500000</v>
      </c>
    </row>
    <row r="67" spans="2:66" x14ac:dyDescent="0.3">
      <c r="C67" s="25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</row>
    <row r="68" spans="2:66" x14ac:dyDescent="0.3">
      <c r="C68" t="s">
        <v>208</v>
      </c>
      <c r="G68" s="34">
        <f>SUM(G66,G62,G58,G54)</f>
        <v>45000</v>
      </c>
      <c r="H68" s="34">
        <f t="shared" ref="H68:BN68" si="308">SUM(H66,H62,H58,H54)</f>
        <v>45000</v>
      </c>
      <c r="I68" s="34">
        <f t="shared" si="308"/>
        <v>45000</v>
      </c>
      <c r="J68" s="34">
        <f t="shared" si="308"/>
        <v>60000</v>
      </c>
      <c r="K68" s="34">
        <f t="shared" si="308"/>
        <v>60000</v>
      </c>
      <c r="L68" s="34">
        <f t="shared" si="308"/>
        <v>60000</v>
      </c>
      <c r="M68" s="34">
        <f t="shared" si="308"/>
        <v>80000</v>
      </c>
      <c r="N68" s="34">
        <f t="shared" si="308"/>
        <v>80000</v>
      </c>
      <c r="O68" s="34">
        <f t="shared" si="308"/>
        <v>80000</v>
      </c>
      <c r="P68" s="34">
        <f t="shared" si="308"/>
        <v>110000</v>
      </c>
      <c r="Q68" s="34">
        <f t="shared" si="308"/>
        <v>110000</v>
      </c>
      <c r="R68" s="34">
        <f t="shared" si="308"/>
        <v>115000</v>
      </c>
      <c r="S68" s="34">
        <f t="shared" si="308"/>
        <v>130000</v>
      </c>
      <c r="T68" s="34">
        <f t="shared" si="308"/>
        <v>130000</v>
      </c>
      <c r="U68" s="34">
        <f t="shared" si="308"/>
        <v>130000</v>
      </c>
      <c r="V68" s="34">
        <f t="shared" si="308"/>
        <v>165000</v>
      </c>
      <c r="W68" s="34">
        <f t="shared" si="308"/>
        <v>165000</v>
      </c>
      <c r="X68" s="34">
        <f t="shared" si="308"/>
        <v>165000</v>
      </c>
      <c r="Y68" s="34">
        <f t="shared" si="308"/>
        <v>185000</v>
      </c>
      <c r="Z68" s="34">
        <f t="shared" si="308"/>
        <v>200000</v>
      </c>
      <c r="AA68" s="34">
        <f t="shared" si="308"/>
        <v>200000</v>
      </c>
      <c r="AB68" s="34">
        <f t="shared" si="308"/>
        <v>220000</v>
      </c>
      <c r="AC68" s="34">
        <f t="shared" si="308"/>
        <v>235000</v>
      </c>
      <c r="AD68" s="34">
        <f t="shared" si="308"/>
        <v>240000</v>
      </c>
      <c r="AE68" s="34">
        <f t="shared" si="308"/>
        <v>255000</v>
      </c>
      <c r="AF68" s="34">
        <f t="shared" si="308"/>
        <v>275000</v>
      </c>
      <c r="AG68" s="34">
        <f t="shared" si="308"/>
        <v>280000</v>
      </c>
      <c r="AH68" s="34">
        <f t="shared" si="308"/>
        <v>315000</v>
      </c>
      <c r="AI68" s="34">
        <f t="shared" si="308"/>
        <v>315000</v>
      </c>
      <c r="AJ68" s="34">
        <f t="shared" si="308"/>
        <v>335000</v>
      </c>
      <c r="AK68" s="34">
        <f t="shared" si="308"/>
        <v>370000</v>
      </c>
      <c r="AL68" s="34">
        <f t="shared" si="308"/>
        <v>375000</v>
      </c>
      <c r="AM68" s="34">
        <f t="shared" si="308"/>
        <v>400000</v>
      </c>
      <c r="AN68" s="34">
        <f t="shared" si="308"/>
        <v>435000</v>
      </c>
      <c r="AO68" s="34">
        <f t="shared" si="308"/>
        <v>455000</v>
      </c>
      <c r="AP68" s="34">
        <f t="shared" si="308"/>
        <v>480000</v>
      </c>
      <c r="AQ68" s="34">
        <f t="shared" si="308"/>
        <v>515000</v>
      </c>
      <c r="AR68" s="34">
        <f t="shared" si="308"/>
        <v>540000</v>
      </c>
      <c r="AS68" s="34">
        <f t="shared" si="308"/>
        <v>565000</v>
      </c>
      <c r="AT68" s="34">
        <f t="shared" si="308"/>
        <v>620000</v>
      </c>
      <c r="AU68" s="34">
        <f t="shared" si="308"/>
        <v>650000</v>
      </c>
      <c r="AV68" s="34">
        <f t="shared" si="308"/>
        <v>690000</v>
      </c>
      <c r="AW68" s="34">
        <f t="shared" si="308"/>
        <v>750000</v>
      </c>
      <c r="AX68" s="34">
        <f t="shared" si="308"/>
        <v>795000</v>
      </c>
      <c r="AY68" s="34">
        <f t="shared" si="308"/>
        <v>840000</v>
      </c>
      <c r="AZ68" s="34">
        <f t="shared" si="308"/>
        <v>920000</v>
      </c>
      <c r="BA68" s="34">
        <f t="shared" si="308"/>
        <v>970000</v>
      </c>
      <c r="BB68" s="34">
        <f t="shared" si="308"/>
        <v>1035000</v>
      </c>
      <c r="BC68" s="34">
        <f t="shared" si="308"/>
        <v>1120000</v>
      </c>
      <c r="BD68" s="34">
        <f t="shared" si="308"/>
        <v>1205000</v>
      </c>
      <c r="BE68" s="34">
        <f t="shared" si="308"/>
        <v>1290000</v>
      </c>
      <c r="BF68" s="34">
        <f t="shared" si="308"/>
        <v>1400000</v>
      </c>
      <c r="BG68" s="34">
        <f t="shared" si="308"/>
        <v>1490000</v>
      </c>
      <c r="BH68" s="34">
        <f t="shared" si="308"/>
        <v>1605000</v>
      </c>
      <c r="BI68" s="34">
        <f t="shared" si="308"/>
        <v>1750000</v>
      </c>
      <c r="BJ68" s="34">
        <f t="shared" si="308"/>
        <v>1880000</v>
      </c>
      <c r="BK68" s="34">
        <f t="shared" si="308"/>
        <v>2020000</v>
      </c>
      <c r="BL68" s="34">
        <f t="shared" si="308"/>
        <v>2205000</v>
      </c>
      <c r="BM68" s="34">
        <f t="shared" si="308"/>
        <v>2385000</v>
      </c>
      <c r="BN68" s="34">
        <f t="shared" si="308"/>
        <v>2565000</v>
      </c>
    </row>
    <row r="69" spans="2:66" x14ac:dyDescent="0.3">
      <c r="C69" t="s">
        <v>205</v>
      </c>
      <c r="E69" s="68">
        <f>Assumptions!$E$37</f>
        <v>0.08</v>
      </c>
      <c r="G69" s="27">
        <f>IF(G$7&lt;=12,0,INDEX($G$70:$BN$70,MATCH(G$7-12,$G$7:$BN$7,0)))*$E69</f>
        <v>0</v>
      </c>
      <c r="H69" s="27">
        <f t="shared" ref="H69:BN69" si="309">IF(H$7&lt;=12,0,INDEX($G$70:$BN$70,MATCH(H$7-12,$G$7:$BN$7,0)))*$E69</f>
        <v>0</v>
      </c>
      <c r="I69" s="27">
        <f t="shared" si="309"/>
        <v>0</v>
      </c>
      <c r="J69" s="27">
        <f t="shared" si="309"/>
        <v>0</v>
      </c>
      <c r="K69" s="27">
        <f t="shared" si="309"/>
        <v>0</v>
      </c>
      <c r="L69" s="27">
        <f t="shared" si="309"/>
        <v>0</v>
      </c>
      <c r="M69" s="27">
        <f t="shared" si="309"/>
        <v>0</v>
      </c>
      <c r="N69" s="27">
        <f t="shared" si="309"/>
        <v>0</v>
      </c>
      <c r="O69" s="27">
        <f t="shared" si="309"/>
        <v>0</v>
      </c>
      <c r="P69" s="27">
        <f t="shared" si="309"/>
        <v>0</v>
      </c>
      <c r="Q69" s="27">
        <f t="shared" si="309"/>
        <v>0</v>
      </c>
      <c r="R69" s="27">
        <f t="shared" si="309"/>
        <v>0</v>
      </c>
      <c r="S69" s="27">
        <f t="shared" si="309"/>
        <v>3600</v>
      </c>
      <c r="T69" s="27">
        <f t="shared" si="309"/>
        <v>3600</v>
      </c>
      <c r="U69" s="27">
        <f t="shared" si="309"/>
        <v>3600</v>
      </c>
      <c r="V69" s="27">
        <f t="shared" si="309"/>
        <v>4800</v>
      </c>
      <c r="W69" s="27">
        <f t="shared" si="309"/>
        <v>4800</v>
      </c>
      <c r="X69" s="27">
        <f t="shared" si="309"/>
        <v>4800</v>
      </c>
      <c r="Y69" s="27">
        <f t="shared" si="309"/>
        <v>6400</v>
      </c>
      <c r="Z69" s="27">
        <f t="shared" si="309"/>
        <v>6400</v>
      </c>
      <c r="AA69" s="27">
        <f t="shared" si="309"/>
        <v>6400</v>
      </c>
      <c r="AB69" s="27">
        <f t="shared" si="309"/>
        <v>8800</v>
      </c>
      <c r="AC69" s="27">
        <f t="shared" si="309"/>
        <v>8800</v>
      </c>
      <c r="AD69" s="27">
        <f t="shared" si="309"/>
        <v>9200</v>
      </c>
      <c r="AE69" s="27">
        <f t="shared" si="309"/>
        <v>10688</v>
      </c>
      <c r="AF69" s="27">
        <f t="shared" si="309"/>
        <v>10688</v>
      </c>
      <c r="AG69" s="27">
        <f t="shared" si="309"/>
        <v>10688</v>
      </c>
      <c r="AH69" s="27">
        <f t="shared" si="309"/>
        <v>13584</v>
      </c>
      <c r="AI69" s="27">
        <f t="shared" si="309"/>
        <v>13584</v>
      </c>
      <c r="AJ69" s="27">
        <f t="shared" si="309"/>
        <v>13584</v>
      </c>
      <c r="AK69" s="27">
        <f t="shared" si="309"/>
        <v>15312</v>
      </c>
      <c r="AL69" s="27">
        <f t="shared" si="309"/>
        <v>16512</v>
      </c>
      <c r="AM69" s="27">
        <f t="shared" si="309"/>
        <v>16512</v>
      </c>
      <c r="AN69" s="27">
        <f t="shared" si="309"/>
        <v>18304</v>
      </c>
      <c r="AO69" s="27">
        <f t="shared" si="309"/>
        <v>19504</v>
      </c>
      <c r="AP69" s="27">
        <f t="shared" si="309"/>
        <v>19936</v>
      </c>
      <c r="AQ69" s="27">
        <f t="shared" si="309"/>
        <v>21255.040000000001</v>
      </c>
      <c r="AR69" s="27">
        <f t="shared" si="309"/>
        <v>22855.040000000001</v>
      </c>
      <c r="AS69" s="27">
        <f t="shared" si="309"/>
        <v>23255.040000000001</v>
      </c>
      <c r="AT69" s="27">
        <f t="shared" si="309"/>
        <v>26286.720000000001</v>
      </c>
      <c r="AU69" s="27">
        <f t="shared" si="309"/>
        <v>26286.720000000001</v>
      </c>
      <c r="AV69" s="27">
        <f t="shared" si="309"/>
        <v>27886.720000000001</v>
      </c>
      <c r="AW69" s="27">
        <f t="shared" si="309"/>
        <v>30824.959999999999</v>
      </c>
      <c r="AX69" s="27">
        <f t="shared" si="309"/>
        <v>31320.959999999999</v>
      </c>
      <c r="AY69" s="27">
        <f t="shared" si="309"/>
        <v>33320.959999999999</v>
      </c>
      <c r="AZ69" s="27">
        <f t="shared" si="309"/>
        <v>36264.32</v>
      </c>
      <c r="BA69" s="27">
        <f t="shared" si="309"/>
        <v>37960.32</v>
      </c>
      <c r="BB69" s="27">
        <f t="shared" si="309"/>
        <v>39994.879999999997</v>
      </c>
      <c r="BC69" s="27">
        <f t="shared" si="309"/>
        <v>42900.403200000001</v>
      </c>
      <c r="BD69" s="27">
        <f t="shared" si="309"/>
        <v>45028.403200000001</v>
      </c>
      <c r="BE69" s="27">
        <f t="shared" si="309"/>
        <v>47060.403200000001</v>
      </c>
      <c r="BF69" s="27">
        <f t="shared" si="309"/>
        <v>51702.937599999997</v>
      </c>
      <c r="BG69" s="27">
        <f t="shared" si="309"/>
        <v>54102.937599999997</v>
      </c>
      <c r="BH69" s="27">
        <f t="shared" si="309"/>
        <v>57430.937599999997</v>
      </c>
      <c r="BI69" s="27">
        <f t="shared" si="309"/>
        <v>62465.996800000001</v>
      </c>
      <c r="BJ69" s="27">
        <f t="shared" si="309"/>
        <v>66105.676800000001</v>
      </c>
      <c r="BK69" s="27">
        <f t="shared" si="309"/>
        <v>69865.676800000001</v>
      </c>
      <c r="BL69" s="27">
        <f t="shared" si="309"/>
        <v>76501.145600000003</v>
      </c>
      <c r="BM69" s="27">
        <f t="shared" si="309"/>
        <v>80636.825599999996</v>
      </c>
      <c r="BN69" s="27">
        <f t="shared" si="309"/>
        <v>85999.590399999986</v>
      </c>
    </row>
    <row r="70" spans="2:66" x14ac:dyDescent="0.3">
      <c r="C70" s="11" t="s">
        <v>207</v>
      </c>
      <c r="D70" s="11"/>
      <c r="E70" s="11"/>
      <c r="F70" s="11"/>
      <c r="G70" s="46">
        <f>SUM(G68:G69)</f>
        <v>45000</v>
      </c>
      <c r="H70" s="46">
        <f t="shared" ref="H70:S70" si="310">SUM(H68:H69)</f>
        <v>45000</v>
      </c>
      <c r="I70" s="46">
        <f t="shared" si="310"/>
        <v>45000</v>
      </c>
      <c r="J70" s="46">
        <f t="shared" si="310"/>
        <v>60000</v>
      </c>
      <c r="K70" s="46">
        <f t="shared" si="310"/>
        <v>60000</v>
      </c>
      <c r="L70" s="46">
        <f t="shared" si="310"/>
        <v>60000</v>
      </c>
      <c r="M70" s="46">
        <f t="shared" si="310"/>
        <v>80000</v>
      </c>
      <c r="N70" s="46">
        <f t="shared" si="310"/>
        <v>80000</v>
      </c>
      <c r="O70" s="46">
        <f t="shared" si="310"/>
        <v>80000</v>
      </c>
      <c r="P70" s="46">
        <f t="shared" si="310"/>
        <v>110000</v>
      </c>
      <c r="Q70" s="46">
        <f t="shared" si="310"/>
        <v>110000</v>
      </c>
      <c r="R70" s="46">
        <f t="shared" si="310"/>
        <v>115000</v>
      </c>
      <c r="S70" s="46">
        <f t="shared" si="310"/>
        <v>133600</v>
      </c>
      <c r="T70" s="46">
        <f t="shared" ref="T70" si="311">SUM(T68:T69)</f>
        <v>133600</v>
      </c>
      <c r="U70" s="46">
        <f t="shared" ref="U70" si="312">SUM(U68:U69)</f>
        <v>133600</v>
      </c>
      <c r="V70" s="46">
        <f t="shared" ref="V70" si="313">SUM(V68:V69)</f>
        <v>169800</v>
      </c>
      <c r="W70" s="46">
        <f t="shared" ref="W70" si="314">SUM(W68:W69)</f>
        <v>169800</v>
      </c>
      <c r="X70" s="46">
        <f t="shared" ref="X70" si="315">SUM(X68:X69)</f>
        <v>169800</v>
      </c>
      <c r="Y70" s="46">
        <f t="shared" ref="Y70" si="316">SUM(Y68:Y69)</f>
        <v>191400</v>
      </c>
      <c r="Z70" s="46">
        <f t="shared" ref="Z70" si="317">SUM(Z68:Z69)</f>
        <v>206400</v>
      </c>
      <c r="AA70" s="46">
        <f t="shared" ref="AA70" si="318">SUM(AA68:AA69)</f>
        <v>206400</v>
      </c>
      <c r="AB70" s="46">
        <f t="shared" ref="AB70" si="319">SUM(AB68:AB69)</f>
        <v>228800</v>
      </c>
      <c r="AC70" s="46">
        <f t="shared" ref="AC70" si="320">SUM(AC68:AC69)</f>
        <v>243800</v>
      </c>
      <c r="AD70" s="46">
        <f t="shared" ref="AD70" si="321">SUM(AD68:AD69)</f>
        <v>249200</v>
      </c>
      <c r="AE70" s="46">
        <f t="shared" ref="AE70:BN70" si="322">SUM(AE68:AE69)</f>
        <v>265688</v>
      </c>
      <c r="AF70" s="46">
        <f t="shared" si="322"/>
        <v>285688</v>
      </c>
      <c r="AG70" s="46">
        <f t="shared" si="322"/>
        <v>290688</v>
      </c>
      <c r="AH70" s="46">
        <f t="shared" si="322"/>
        <v>328584</v>
      </c>
      <c r="AI70" s="46">
        <f t="shared" si="322"/>
        <v>328584</v>
      </c>
      <c r="AJ70" s="46">
        <f t="shared" si="322"/>
        <v>348584</v>
      </c>
      <c r="AK70" s="46">
        <f t="shared" si="322"/>
        <v>385312</v>
      </c>
      <c r="AL70" s="46">
        <f t="shared" si="322"/>
        <v>391512</v>
      </c>
      <c r="AM70" s="46">
        <f t="shared" si="322"/>
        <v>416512</v>
      </c>
      <c r="AN70" s="46">
        <f t="shared" si="322"/>
        <v>453304</v>
      </c>
      <c r="AO70" s="46">
        <f t="shared" si="322"/>
        <v>474504</v>
      </c>
      <c r="AP70" s="46">
        <f t="shared" si="322"/>
        <v>499936</v>
      </c>
      <c r="AQ70" s="46">
        <f t="shared" si="322"/>
        <v>536255.04</v>
      </c>
      <c r="AR70" s="46">
        <f t="shared" si="322"/>
        <v>562855.04</v>
      </c>
      <c r="AS70" s="46">
        <f t="shared" si="322"/>
        <v>588255.04</v>
      </c>
      <c r="AT70" s="46">
        <f t="shared" si="322"/>
        <v>646286.72</v>
      </c>
      <c r="AU70" s="46">
        <f t="shared" si="322"/>
        <v>676286.72</v>
      </c>
      <c r="AV70" s="46">
        <f t="shared" si="322"/>
        <v>717886.72</v>
      </c>
      <c r="AW70" s="46">
        <f t="shared" si="322"/>
        <v>780824.96</v>
      </c>
      <c r="AX70" s="46">
        <f t="shared" si="322"/>
        <v>826320.96</v>
      </c>
      <c r="AY70" s="46">
        <f t="shared" si="322"/>
        <v>873320.95999999996</v>
      </c>
      <c r="AZ70" s="46">
        <f t="shared" si="322"/>
        <v>956264.32</v>
      </c>
      <c r="BA70" s="46">
        <f t="shared" si="322"/>
        <v>1007960.32</v>
      </c>
      <c r="BB70" s="46">
        <f t="shared" si="322"/>
        <v>1074994.8799999999</v>
      </c>
      <c r="BC70" s="46">
        <f t="shared" si="322"/>
        <v>1162900.4032000001</v>
      </c>
      <c r="BD70" s="46">
        <f t="shared" si="322"/>
        <v>1250028.4032000001</v>
      </c>
      <c r="BE70" s="46">
        <f t="shared" si="322"/>
        <v>1337060.4032000001</v>
      </c>
      <c r="BF70" s="46">
        <f t="shared" si="322"/>
        <v>1451702.9376000001</v>
      </c>
      <c r="BG70" s="46">
        <f t="shared" si="322"/>
        <v>1544102.9376000001</v>
      </c>
      <c r="BH70" s="46">
        <f t="shared" si="322"/>
        <v>1662430.9376000001</v>
      </c>
      <c r="BI70" s="46">
        <f t="shared" si="322"/>
        <v>1812465.9968000001</v>
      </c>
      <c r="BJ70" s="46">
        <f t="shared" si="322"/>
        <v>1946105.6768</v>
      </c>
      <c r="BK70" s="46">
        <f t="shared" si="322"/>
        <v>2089865.6768</v>
      </c>
      <c r="BL70" s="46">
        <f t="shared" si="322"/>
        <v>2281501.1455999999</v>
      </c>
      <c r="BM70" s="46">
        <f t="shared" si="322"/>
        <v>2465636.8256000001</v>
      </c>
      <c r="BN70" s="46">
        <f t="shared" si="322"/>
        <v>2650999.5904000001</v>
      </c>
    </row>
    <row r="71" spans="2:66" x14ac:dyDescent="0.3">
      <c r="C71" t="s">
        <v>100</v>
      </c>
      <c r="E71" s="68">
        <f>Assumptions!E38</f>
        <v>0.2</v>
      </c>
      <c r="G71" s="34">
        <f>G70*$E71</f>
        <v>9000</v>
      </c>
      <c r="H71" s="34">
        <f t="shared" ref="H71:BN71" si="323">H70*$E71</f>
        <v>9000</v>
      </c>
      <c r="I71" s="34">
        <f t="shared" si="323"/>
        <v>9000</v>
      </c>
      <c r="J71" s="34">
        <f t="shared" si="323"/>
        <v>12000</v>
      </c>
      <c r="K71" s="34">
        <f t="shared" si="323"/>
        <v>12000</v>
      </c>
      <c r="L71" s="34">
        <f t="shared" si="323"/>
        <v>12000</v>
      </c>
      <c r="M71" s="34">
        <f t="shared" si="323"/>
        <v>16000</v>
      </c>
      <c r="N71" s="34">
        <f t="shared" si="323"/>
        <v>16000</v>
      </c>
      <c r="O71" s="34">
        <f t="shared" si="323"/>
        <v>16000</v>
      </c>
      <c r="P71" s="34">
        <f t="shared" si="323"/>
        <v>22000</v>
      </c>
      <c r="Q71" s="34">
        <f t="shared" si="323"/>
        <v>22000</v>
      </c>
      <c r="R71" s="34">
        <f t="shared" si="323"/>
        <v>23000</v>
      </c>
      <c r="S71" s="34">
        <f t="shared" si="323"/>
        <v>26720</v>
      </c>
      <c r="T71" s="34">
        <f t="shared" si="323"/>
        <v>26720</v>
      </c>
      <c r="U71" s="34">
        <f t="shared" si="323"/>
        <v>26720</v>
      </c>
      <c r="V71" s="34">
        <f t="shared" si="323"/>
        <v>33960</v>
      </c>
      <c r="W71" s="34">
        <f t="shared" si="323"/>
        <v>33960</v>
      </c>
      <c r="X71" s="34">
        <f t="shared" si="323"/>
        <v>33960</v>
      </c>
      <c r="Y71" s="34">
        <f t="shared" si="323"/>
        <v>38280</v>
      </c>
      <c r="Z71" s="34">
        <f t="shared" si="323"/>
        <v>41280</v>
      </c>
      <c r="AA71" s="34">
        <f t="shared" si="323"/>
        <v>41280</v>
      </c>
      <c r="AB71" s="34">
        <f t="shared" si="323"/>
        <v>45760</v>
      </c>
      <c r="AC71" s="34">
        <f t="shared" si="323"/>
        <v>48760</v>
      </c>
      <c r="AD71" s="34">
        <f t="shared" si="323"/>
        <v>49840</v>
      </c>
      <c r="AE71" s="34">
        <f t="shared" si="323"/>
        <v>53137.600000000006</v>
      </c>
      <c r="AF71" s="34">
        <f t="shared" si="323"/>
        <v>57137.600000000006</v>
      </c>
      <c r="AG71" s="34">
        <f t="shared" si="323"/>
        <v>58137.600000000006</v>
      </c>
      <c r="AH71" s="34">
        <f t="shared" si="323"/>
        <v>65716.800000000003</v>
      </c>
      <c r="AI71" s="34">
        <f t="shared" si="323"/>
        <v>65716.800000000003</v>
      </c>
      <c r="AJ71" s="34">
        <f t="shared" si="323"/>
        <v>69716.800000000003</v>
      </c>
      <c r="AK71" s="34">
        <f t="shared" si="323"/>
        <v>77062.400000000009</v>
      </c>
      <c r="AL71" s="34">
        <f t="shared" si="323"/>
        <v>78302.400000000009</v>
      </c>
      <c r="AM71" s="34">
        <f t="shared" si="323"/>
        <v>83302.400000000009</v>
      </c>
      <c r="AN71" s="34">
        <f t="shared" si="323"/>
        <v>90660.800000000003</v>
      </c>
      <c r="AO71" s="34">
        <f t="shared" si="323"/>
        <v>94900.800000000003</v>
      </c>
      <c r="AP71" s="34">
        <f t="shared" si="323"/>
        <v>99987.200000000012</v>
      </c>
      <c r="AQ71" s="34">
        <f t="shared" si="323"/>
        <v>107251.00800000002</v>
      </c>
      <c r="AR71" s="34">
        <f t="shared" si="323"/>
        <v>112571.00800000002</v>
      </c>
      <c r="AS71" s="34">
        <f t="shared" si="323"/>
        <v>117651.00800000002</v>
      </c>
      <c r="AT71" s="34">
        <f t="shared" si="323"/>
        <v>129257.344</v>
      </c>
      <c r="AU71" s="34">
        <f t="shared" si="323"/>
        <v>135257.34400000001</v>
      </c>
      <c r="AV71" s="34">
        <f t="shared" si="323"/>
        <v>143577.34400000001</v>
      </c>
      <c r="AW71" s="34">
        <f t="shared" si="323"/>
        <v>156164.992</v>
      </c>
      <c r="AX71" s="34">
        <f t="shared" si="323"/>
        <v>165264.19200000001</v>
      </c>
      <c r="AY71" s="34">
        <f t="shared" si="323"/>
        <v>174664.19200000001</v>
      </c>
      <c r="AZ71" s="34">
        <f t="shared" si="323"/>
        <v>191252.864</v>
      </c>
      <c r="BA71" s="34">
        <f t="shared" si="323"/>
        <v>201592.06400000001</v>
      </c>
      <c r="BB71" s="34">
        <f t="shared" si="323"/>
        <v>214998.976</v>
      </c>
      <c r="BC71" s="34">
        <f t="shared" si="323"/>
        <v>232580.08064000003</v>
      </c>
      <c r="BD71" s="34">
        <f t="shared" si="323"/>
        <v>250005.68064000004</v>
      </c>
      <c r="BE71" s="34">
        <f t="shared" si="323"/>
        <v>267412.08064</v>
      </c>
      <c r="BF71" s="34">
        <f t="shared" si="323"/>
        <v>290340.58752</v>
      </c>
      <c r="BG71" s="34">
        <f t="shared" si="323"/>
        <v>308820.58752</v>
      </c>
      <c r="BH71" s="34">
        <f t="shared" si="323"/>
        <v>332486.18752000004</v>
      </c>
      <c r="BI71" s="34">
        <f t="shared" si="323"/>
        <v>362493.19936000003</v>
      </c>
      <c r="BJ71" s="34">
        <f t="shared" si="323"/>
        <v>389221.13536000001</v>
      </c>
      <c r="BK71" s="34">
        <f t="shared" si="323"/>
        <v>417973.13536000001</v>
      </c>
      <c r="BL71" s="34">
        <f t="shared" si="323"/>
        <v>456300.22912000003</v>
      </c>
      <c r="BM71" s="34">
        <f t="shared" si="323"/>
        <v>493127.36512000003</v>
      </c>
      <c r="BN71" s="34">
        <f t="shared" si="323"/>
        <v>530199.91808000009</v>
      </c>
    </row>
    <row r="72" spans="2:66" x14ac:dyDescent="0.3">
      <c r="C72" s="44" t="s">
        <v>72</v>
      </c>
      <c r="D72" s="44"/>
      <c r="E72" s="44"/>
      <c r="F72" s="44"/>
      <c r="G72" s="55">
        <f>SUM(G70:G71)</f>
        <v>54000</v>
      </c>
      <c r="H72" s="55">
        <f t="shared" ref="H72:BN72" si="324">SUM(H70:H71)</f>
        <v>54000</v>
      </c>
      <c r="I72" s="55">
        <f t="shared" si="324"/>
        <v>54000</v>
      </c>
      <c r="J72" s="55">
        <f t="shared" si="324"/>
        <v>72000</v>
      </c>
      <c r="K72" s="55">
        <f t="shared" si="324"/>
        <v>72000</v>
      </c>
      <c r="L72" s="55">
        <f t="shared" si="324"/>
        <v>72000</v>
      </c>
      <c r="M72" s="55">
        <f t="shared" si="324"/>
        <v>96000</v>
      </c>
      <c r="N72" s="55">
        <f t="shared" si="324"/>
        <v>96000</v>
      </c>
      <c r="O72" s="55">
        <f t="shared" si="324"/>
        <v>96000</v>
      </c>
      <c r="P72" s="55">
        <f t="shared" si="324"/>
        <v>132000</v>
      </c>
      <c r="Q72" s="55">
        <f t="shared" si="324"/>
        <v>132000</v>
      </c>
      <c r="R72" s="55">
        <f t="shared" si="324"/>
        <v>138000</v>
      </c>
      <c r="S72" s="55">
        <f t="shared" si="324"/>
        <v>160320</v>
      </c>
      <c r="T72" s="55">
        <f t="shared" si="324"/>
        <v>160320</v>
      </c>
      <c r="U72" s="55">
        <f t="shared" si="324"/>
        <v>160320</v>
      </c>
      <c r="V72" s="55">
        <f t="shared" si="324"/>
        <v>203760</v>
      </c>
      <c r="W72" s="55">
        <f t="shared" si="324"/>
        <v>203760</v>
      </c>
      <c r="X72" s="55">
        <f t="shared" si="324"/>
        <v>203760</v>
      </c>
      <c r="Y72" s="55">
        <f t="shared" si="324"/>
        <v>229680</v>
      </c>
      <c r="Z72" s="55">
        <f t="shared" si="324"/>
        <v>247680</v>
      </c>
      <c r="AA72" s="55">
        <f t="shared" si="324"/>
        <v>247680</v>
      </c>
      <c r="AB72" s="55">
        <f t="shared" si="324"/>
        <v>274560</v>
      </c>
      <c r="AC72" s="55">
        <f t="shared" si="324"/>
        <v>292560</v>
      </c>
      <c r="AD72" s="55">
        <f t="shared" si="324"/>
        <v>299040</v>
      </c>
      <c r="AE72" s="55">
        <f t="shared" si="324"/>
        <v>318825.59999999998</v>
      </c>
      <c r="AF72" s="55">
        <f t="shared" si="324"/>
        <v>342825.6</v>
      </c>
      <c r="AG72" s="55">
        <f t="shared" si="324"/>
        <v>348825.59999999998</v>
      </c>
      <c r="AH72" s="55">
        <f t="shared" si="324"/>
        <v>394300.8</v>
      </c>
      <c r="AI72" s="55">
        <f t="shared" si="324"/>
        <v>394300.8</v>
      </c>
      <c r="AJ72" s="55">
        <f t="shared" si="324"/>
        <v>418300.8</v>
      </c>
      <c r="AK72" s="55">
        <f t="shared" si="324"/>
        <v>462374.40000000002</v>
      </c>
      <c r="AL72" s="55">
        <f t="shared" si="324"/>
        <v>469814.4</v>
      </c>
      <c r="AM72" s="55">
        <f t="shared" si="324"/>
        <v>499814.40000000002</v>
      </c>
      <c r="AN72" s="55">
        <f t="shared" si="324"/>
        <v>543964.80000000005</v>
      </c>
      <c r="AO72" s="55">
        <f t="shared" si="324"/>
        <v>569404.80000000005</v>
      </c>
      <c r="AP72" s="55">
        <f t="shared" si="324"/>
        <v>599923.19999999995</v>
      </c>
      <c r="AQ72" s="55">
        <f t="shared" si="324"/>
        <v>643506.04800000007</v>
      </c>
      <c r="AR72" s="55">
        <f t="shared" si="324"/>
        <v>675426.04800000007</v>
      </c>
      <c r="AS72" s="55">
        <f t="shared" si="324"/>
        <v>705906.04800000007</v>
      </c>
      <c r="AT72" s="55">
        <f t="shared" si="324"/>
        <v>775544.06400000001</v>
      </c>
      <c r="AU72" s="55">
        <f t="shared" si="324"/>
        <v>811544.06400000001</v>
      </c>
      <c r="AV72" s="55">
        <f t="shared" si="324"/>
        <v>861464.06400000001</v>
      </c>
      <c r="AW72" s="55">
        <f t="shared" si="324"/>
        <v>936989.95199999993</v>
      </c>
      <c r="AX72" s="55">
        <f t="shared" si="324"/>
        <v>991585.152</v>
      </c>
      <c r="AY72" s="55">
        <f t="shared" si="324"/>
        <v>1047985.152</v>
      </c>
      <c r="AZ72" s="55">
        <f t="shared" si="324"/>
        <v>1147517.1839999999</v>
      </c>
      <c r="BA72" s="55">
        <f t="shared" si="324"/>
        <v>1209552.3840000001</v>
      </c>
      <c r="BB72" s="55">
        <f t="shared" si="324"/>
        <v>1289993.8559999999</v>
      </c>
      <c r="BC72" s="55">
        <f t="shared" si="324"/>
        <v>1395480.4838400001</v>
      </c>
      <c r="BD72" s="55">
        <f t="shared" si="324"/>
        <v>1500034.08384</v>
      </c>
      <c r="BE72" s="55">
        <f t="shared" si="324"/>
        <v>1604472.4838400001</v>
      </c>
      <c r="BF72" s="55">
        <f t="shared" si="324"/>
        <v>1742043.5251200001</v>
      </c>
      <c r="BG72" s="55">
        <f t="shared" si="324"/>
        <v>1852923.5251200001</v>
      </c>
      <c r="BH72" s="55">
        <f t="shared" si="324"/>
        <v>1994917.12512</v>
      </c>
      <c r="BI72" s="55">
        <f t="shared" si="324"/>
        <v>2174959.1961600003</v>
      </c>
      <c r="BJ72" s="55">
        <f t="shared" si="324"/>
        <v>2335326.8121600002</v>
      </c>
      <c r="BK72" s="55">
        <f t="shared" si="324"/>
        <v>2507838.8121600002</v>
      </c>
      <c r="BL72" s="55">
        <f t="shared" si="324"/>
        <v>2737801.3747199997</v>
      </c>
      <c r="BM72" s="55">
        <f t="shared" si="324"/>
        <v>2958764.1907200003</v>
      </c>
      <c r="BN72" s="55">
        <f t="shared" si="324"/>
        <v>3181199.5084800003</v>
      </c>
    </row>
    <row r="73" spans="2:66" x14ac:dyDescent="0.3">
      <c r="C73" s="25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</row>
    <row r="74" spans="2:66" x14ac:dyDescent="0.3">
      <c r="C74" t="s">
        <v>79</v>
      </c>
      <c r="G74" s="27">
        <f t="shared" ref="G74:AL74" si="325">COUNT(G52:G53)</f>
        <v>2</v>
      </c>
      <c r="H74" s="27">
        <f t="shared" si="325"/>
        <v>2</v>
      </c>
      <c r="I74" s="27">
        <f t="shared" si="325"/>
        <v>2</v>
      </c>
      <c r="J74" s="27">
        <f t="shared" si="325"/>
        <v>2</v>
      </c>
      <c r="K74" s="27">
        <f t="shared" si="325"/>
        <v>2</v>
      </c>
      <c r="L74" s="27">
        <f t="shared" si="325"/>
        <v>2</v>
      </c>
      <c r="M74" s="27">
        <f t="shared" si="325"/>
        <v>2</v>
      </c>
      <c r="N74" s="27">
        <f t="shared" si="325"/>
        <v>2</v>
      </c>
      <c r="O74" s="27">
        <f t="shared" si="325"/>
        <v>2</v>
      </c>
      <c r="P74" s="27">
        <f t="shared" si="325"/>
        <v>2</v>
      </c>
      <c r="Q74" s="27">
        <f t="shared" si="325"/>
        <v>2</v>
      </c>
      <c r="R74" s="27">
        <f t="shared" si="325"/>
        <v>2</v>
      </c>
      <c r="S74" s="27">
        <f t="shared" si="325"/>
        <v>2</v>
      </c>
      <c r="T74" s="27">
        <f t="shared" si="325"/>
        <v>2</v>
      </c>
      <c r="U74" s="27">
        <f t="shared" si="325"/>
        <v>2</v>
      </c>
      <c r="V74" s="27">
        <f t="shared" si="325"/>
        <v>2</v>
      </c>
      <c r="W74" s="27">
        <f t="shared" si="325"/>
        <v>2</v>
      </c>
      <c r="X74" s="27">
        <f t="shared" si="325"/>
        <v>2</v>
      </c>
      <c r="Y74" s="27">
        <f t="shared" si="325"/>
        <v>2</v>
      </c>
      <c r="Z74" s="27">
        <f t="shared" si="325"/>
        <v>2</v>
      </c>
      <c r="AA74" s="27">
        <f t="shared" si="325"/>
        <v>2</v>
      </c>
      <c r="AB74" s="27">
        <f t="shared" si="325"/>
        <v>2</v>
      </c>
      <c r="AC74" s="27">
        <f t="shared" si="325"/>
        <v>2</v>
      </c>
      <c r="AD74" s="27">
        <f t="shared" si="325"/>
        <v>2</v>
      </c>
      <c r="AE74" s="27">
        <f t="shared" si="325"/>
        <v>2</v>
      </c>
      <c r="AF74" s="27">
        <f t="shared" si="325"/>
        <v>2</v>
      </c>
      <c r="AG74" s="27">
        <f t="shared" si="325"/>
        <v>2</v>
      </c>
      <c r="AH74" s="27">
        <f t="shared" si="325"/>
        <v>2</v>
      </c>
      <c r="AI74" s="27">
        <f t="shared" si="325"/>
        <v>2</v>
      </c>
      <c r="AJ74" s="27">
        <f t="shared" si="325"/>
        <v>2</v>
      </c>
      <c r="AK74" s="27">
        <f t="shared" si="325"/>
        <v>2</v>
      </c>
      <c r="AL74" s="27">
        <f t="shared" si="325"/>
        <v>2</v>
      </c>
      <c r="AM74" s="27">
        <f t="shared" ref="AM74:BN74" si="326">COUNT(AM52:AM53)</f>
        <v>2</v>
      </c>
      <c r="AN74" s="27">
        <f t="shared" si="326"/>
        <v>2</v>
      </c>
      <c r="AO74" s="27">
        <f t="shared" si="326"/>
        <v>2</v>
      </c>
      <c r="AP74" s="27">
        <f t="shared" si="326"/>
        <v>2</v>
      </c>
      <c r="AQ74" s="27">
        <f t="shared" si="326"/>
        <v>2</v>
      </c>
      <c r="AR74" s="27">
        <f t="shared" si="326"/>
        <v>2</v>
      </c>
      <c r="AS74" s="27">
        <f t="shared" si="326"/>
        <v>2</v>
      </c>
      <c r="AT74" s="27">
        <f t="shared" si="326"/>
        <v>2</v>
      </c>
      <c r="AU74" s="27">
        <f t="shared" si="326"/>
        <v>2</v>
      </c>
      <c r="AV74" s="27">
        <f t="shared" si="326"/>
        <v>2</v>
      </c>
      <c r="AW74" s="27">
        <f t="shared" si="326"/>
        <v>2</v>
      </c>
      <c r="AX74" s="27">
        <f t="shared" si="326"/>
        <v>2</v>
      </c>
      <c r="AY74" s="27">
        <f t="shared" si="326"/>
        <v>2</v>
      </c>
      <c r="AZ74" s="27">
        <f t="shared" si="326"/>
        <v>2</v>
      </c>
      <c r="BA74" s="27">
        <f t="shared" si="326"/>
        <v>2</v>
      </c>
      <c r="BB74" s="27">
        <f t="shared" si="326"/>
        <v>2</v>
      </c>
      <c r="BC74" s="27">
        <f t="shared" si="326"/>
        <v>2</v>
      </c>
      <c r="BD74" s="27">
        <f t="shared" si="326"/>
        <v>2</v>
      </c>
      <c r="BE74" s="27">
        <f t="shared" si="326"/>
        <v>2</v>
      </c>
      <c r="BF74" s="27">
        <f t="shared" si="326"/>
        <v>2</v>
      </c>
      <c r="BG74" s="27">
        <f t="shared" si="326"/>
        <v>2</v>
      </c>
      <c r="BH74" s="27">
        <f t="shared" si="326"/>
        <v>2</v>
      </c>
      <c r="BI74" s="27">
        <f t="shared" si="326"/>
        <v>2</v>
      </c>
      <c r="BJ74" s="27">
        <f t="shared" si="326"/>
        <v>2</v>
      </c>
      <c r="BK74" s="27">
        <f t="shared" si="326"/>
        <v>2</v>
      </c>
      <c r="BL74" s="27">
        <f t="shared" si="326"/>
        <v>2</v>
      </c>
      <c r="BM74" s="27">
        <f t="shared" si="326"/>
        <v>2</v>
      </c>
      <c r="BN74" s="27">
        <f t="shared" si="326"/>
        <v>2</v>
      </c>
    </row>
    <row r="75" spans="2:66" x14ac:dyDescent="0.3">
      <c r="C75" t="str">
        <f>C56</f>
        <v>Engineering Headcount</v>
      </c>
      <c r="G75" s="27">
        <f t="shared" ref="G75:AL75" si="327">G56</f>
        <v>1</v>
      </c>
      <c r="H75" s="27">
        <f t="shared" si="327"/>
        <v>1</v>
      </c>
      <c r="I75" s="27">
        <f t="shared" si="327"/>
        <v>1</v>
      </c>
      <c r="J75" s="27">
        <f t="shared" si="327"/>
        <v>2</v>
      </c>
      <c r="K75" s="27">
        <f t="shared" si="327"/>
        <v>2</v>
      </c>
      <c r="L75" s="27">
        <f t="shared" si="327"/>
        <v>2</v>
      </c>
      <c r="M75" s="27">
        <f t="shared" si="327"/>
        <v>3</v>
      </c>
      <c r="N75" s="27">
        <f t="shared" si="327"/>
        <v>3</v>
      </c>
      <c r="O75" s="27">
        <f t="shared" si="327"/>
        <v>3</v>
      </c>
      <c r="P75" s="27">
        <f t="shared" si="327"/>
        <v>4</v>
      </c>
      <c r="Q75" s="27">
        <f t="shared" si="327"/>
        <v>4</v>
      </c>
      <c r="R75" s="27">
        <f t="shared" si="327"/>
        <v>4</v>
      </c>
      <c r="S75" s="27">
        <f t="shared" si="327"/>
        <v>5</v>
      </c>
      <c r="T75" s="27">
        <f t="shared" si="327"/>
        <v>5</v>
      </c>
      <c r="U75" s="27">
        <f t="shared" si="327"/>
        <v>5</v>
      </c>
      <c r="V75" s="27">
        <f t="shared" si="327"/>
        <v>6</v>
      </c>
      <c r="W75" s="27">
        <f t="shared" si="327"/>
        <v>6</v>
      </c>
      <c r="X75" s="27">
        <f t="shared" si="327"/>
        <v>6</v>
      </c>
      <c r="Y75" s="27">
        <f t="shared" si="327"/>
        <v>7</v>
      </c>
      <c r="Z75" s="27">
        <f t="shared" si="327"/>
        <v>7</v>
      </c>
      <c r="AA75" s="27">
        <f t="shared" si="327"/>
        <v>7</v>
      </c>
      <c r="AB75" s="27">
        <f t="shared" si="327"/>
        <v>8</v>
      </c>
      <c r="AC75" s="27">
        <f t="shared" si="327"/>
        <v>8</v>
      </c>
      <c r="AD75" s="27">
        <f t="shared" si="327"/>
        <v>8</v>
      </c>
      <c r="AE75" s="27">
        <f t="shared" si="327"/>
        <v>9</v>
      </c>
      <c r="AF75" s="27">
        <f t="shared" si="327"/>
        <v>9</v>
      </c>
      <c r="AG75" s="27">
        <f t="shared" si="327"/>
        <v>9</v>
      </c>
      <c r="AH75" s="27">
        <f t="shared" si="327"/>
        <v>10</v>
      </c>
      <c r="AI75" s="27">
        <f t="shared" si="327"/>
        <v>10</v>
      </c>
      <c r="AJ75" s="27">
        <f t="shared" si="327"/>
        <v>10</v>
      </c>
      <c r="AK75" s="27">
        <f t="shared" si="327"/>
        <v>11</v>
      </c>
      <c r="AL75" s="27">
        <f t="shared" si="327"/>
        <v>11</v>
      </c>
      <c r="AM75" s="27">
        <f t="shared" ref="AM75:BN75" si="328">AM56</f>
        <v>11</v>
      </c>
      <c r="AN75" s="27">
        <f t="shared" si="328"/>
        <v>12</v>
      </c>
      <c r="AO75" s="27">
        <f t="shared" si="328"/>
        <v>12</v>
      </c>
      <c r="AP75" s="27">
        <f t="shared" si="328"/>
        <v>12</v>
      </c>
      <c r="AQ75" s="27">
        <f t="shared" si="328"/>
        <v>13</v>
      </c>
      <c r="AR75" s="27">
        <f t="shared" si="328"/>
        <v>13</v>
      </c>
      <c r="AS75" s="27">
        <f t="shared" si="328"/>
        <v>13</v>
      </c>
      <c r="AT75" s="27">
        <f t="shared" si="328"/>
        <v>14</v>
      </c>
      <c r="AU75" s="27">
        <f t="shared" si="328"/>
        <v>14</v>
      </c>
      <c r="AV75" s="27">
        <f t="shared" si="328"/>
        <v>14</v>
      </c>
      <c r="AW75" s="27">
        <f t="shared" si="328"/>
        <v>15</v>
      </c>
      <c r="AX75" s="27">
        <f t="shared" si="328"/>
        <v>15</v>
      </c>
      <c r="AY75" s="27">
        <f t="shared" si="328"/>
        <v>15</v>
      </c>
      <c r="AZ75" s="27">
        <f t="shared" si="328"/>
        <v>16</v>
      </c>
      <c r="BA75" s="27">
        <f t="shared" si="328"/>
        <v>16</v>
      </c>
      <c r="BB75" s="27">
        <f t="shared" si="328"/>
        <v>16</v>
      </c>
      <c r="BC75" s="27">
        <f t="shared" si="328"/>
        <v>17</v>
      </c>
      <c r="BD75" s="27">
        <f t="shared" si="328"/>
        <v>17</v>
      </c>
      <c r="BE75" s="27">
        <f t="shared" si="328"/>
        <v>17</v>
      </c>
      <c r="BF75" s="27">
        <f t="shared" si="328"/>
        <v>18</v>
      </c>
      <c r="BG75" s="27">
        <f t="shared" si="328"/>
        <v>18</v>
      </c>
      <c r="BH75" s="27">
        <f t="shared" si="328"/>
        <v>18</v>
      </c>
      <c r="BI75" s="27">
        <f t="shared" si="328"/>
        <v>19</v>
      </c>
      <c r="BJ75" s="27">
        <f t="shared" si="328"/>
        <v>19</v>
      </c>
      <c r="BK75" s="27">
        <f t="shared" si="328"/>
        <v>19</v>
      </c>
      <c r="BL75" s="27">
        <f t="shared" si="328"/>
        <v>20</v>
      </c>
      <c r="BM75" s="27">
        <f t="shared" si="328"/>
        <v>20</v>
      </c>
      <c r="BN75" s="27">
        <f t="shared" si="328"/>
        <v>20</v>
      </c>
    </row>
    <row r="76" spans="2:66" x14ac:dyDescent="0.3">
      <c r="C76" t="str">
        <f>C60</f>
        <v>Customer Support Headcount</v>
      </c>
      <c r="G76" s="27">
        <f t="shared" ref="G76:AL76" si="329">G60</f>
        <v>1</v>
      </c>
      <c r="H76" s="27">
        <f t="shared" si="329"/>
        <v>1</v>
      </c>
      <c r="I76" s="27">
        <f t="shared" si="329"/>
        <v>1</v>
      </c>
      <c r="J76" s="27">
        <f t="shared" si="329"/>
        <v>1</v>
      </c>
      <c r="K76" s="27">
        <f t="shared" si="329"/>
        <v>1</v>
      </c>
      <c r="L76" s="27">
        <f t="shared" si="329"/>
        <v>1</v>
      </c>
      <c r="M76" s="27">
        <f t="shared" si="329"/>
        <v>2</v>
      </c>
      <c r="N76" s="27">
        <f t="shared" si="329"/>
        <v>2</v>
      </c>
      <c r="O76" s="27">
        <f t="shared" si="329"/>
        <v>2</v>
      </c>
      <c r="P76" s="27">
        <f t="shared" si="329"/>
        <v>2</v>
      </c>
      <c r="Q76" s="27">
        <f t="shared" si="329"/>
        <v>2</v>
      </c>
      <c r="R76" s="27">
        <f t="shared" si="329"/>
        <v>3</v>
      </c>
      <c r="S76" s="27">
        <f t="shared" si="329"/>
        <v>3</v>
      </c>
      <c r="T76" s="27">
        <f t="shared" si="329"/>
        <v>3</v>
      </c>
      <c r="U76" s="27">
        <f t="shared" si="329"/>
        <v>3</v>
      </c>
      <c r="V76" s="27">
        <f t="shared" si="329"/>
        <v>4</v>
      </c>
      <c r="W76" s="27">
        <f t="shared" si="329"/>
        <v>4</v>
      </c>
      <c r="X76" s="27">
        <f t="shared" si="329"/>
        <v>4</v>
      </c>
      <c r="Y76" s="27">
        <f t="shared" si="329"/>
        <v>5</v>
      </c>
      <c r="Z76" s="27">
        <f t="shared" si="329"/>
        <v>5</v>
      </c>
      <c r="AA76" s="27">
        <f t="shared" si="329"/>
        <v>5</v>
      </c>
      <c r="AB76" s="27">
        <f t="shared" si="329"/>
        <v>6</v>
      </c>
      <c r="AC76" s="27">
        <f t="shared" si="329"/>
        <v>6</v>
      </c>
      <c r="AD76" s="27">
        <f t="shared" si="329"/>
        <v>7</v>
      </c>
      <c r="AE76" s="27">
        <f t="shared" si="329"/>
        <v>7</v>
      </c>
      <c r="AF76" s="27">
        <f t="shared" si="329"/>
        <v>8</v>
      </c>
      <c r="AG76" s="27">
        <f t="shared" si="329"/>
        <v>9</v>
      </c>
      <c r="AH76" s="27">
        <f t="shared" si="329"/>
        <v>10</v>
      </c>
      <c r="AI76" s="27">
        <f t="shared" si="329"/>
        <v>10</v>
      </c>
      <c r="AJ76" s="27">
        <f t="shared" si="329"/>
        <v>11</v>
      </c>
      <c r="AK76" s="27">
        <f t="shared" si="329"/>
        <v>12</v>
      </c>
      <c r="AL76" s="27">
        <f t="shared" si="329"/>
        <v>13</v>
      </c>
      <c r="AM76" s="27">
        <f t="shared" ref="AM76:BN76" si="330">AM60</f>
        <v>15</v>
      </c>
      <c r="AN76" s="27">
        <f t="shared" si="330"/>
        <v>16</v>
      </c>
      <c r="AO76" s="27">
        <f t="shared" si="330"/>
        <v>17</v>
      </c>
      <c r="AP76" s="27">
        <f t="shared" si="330"/>
        <v>19</v>
      </c>
      <c r="AQ76" s="27">
        <f t="shared" si="330"/>
        <v>20</v>
      </c>
      <c r="AR76" s="27">
        <f t="shared" si="330"/>
        <v>22</v>
      </c>
      <c r="AS76" s="27">
        <f t="shared" si="330"/>
        <v>24</v>
      </c>
      <c r="AT76" s="27">
        <f t="shared" si="330"/>
        <v>26</v>
      </c>
      <c r="AU76" s="27">
        <f t="shared" si="330"/>
        <v>29</v>
      </c>
      <c r="AV76" s="27">
        <f t="shared" si="330"/>
        <v>31</v>
      </c>
      <c r="AW76" s="27">
        <f t="shared" si="330"/>
        <v>34</v>
      </c>
      <c r="AX76" s="27">
        <f t="shared" si="330"/>
        <v>37</v>
      </c>
      <c r="AY76" s="27">
        <f t="shared" si="330"/>
        <v>40</v>
      </c>
      <c r="AZ76" s="27">
        <f t="shared" si="330"/>
        <v>44</v>
      </c>
      <c r="BA76" s="27">
        <f t="shared" si="330"/>
        <v>48</v>
      </c>
      <c r="BB76" s="27">
        <f t="shared" si="330"/>
        <v>52</v>
      </c>
      <c r="BC76" s="27">
        <f t="shared" si="330"/>
        <v>57</v>
      </c>
      <c r="BD76" s="27">
        <f t="shared" si="330"/>
        <v>62</v>
      </c>
      <c r="BE76" s="27">
        <f t="shared" si="330"/>
        <v>67</v>
      </c>
      <c r="BF76" s="27">
        <f t="shared" si="330"/>
        <v>74</v>
      </c>
      <c r="BG76" s="27">
        <f t="shared" si="330"/>
        <v>80</v>
      </c>
      <c r="BH76" s="27">
        <f t="shared" si="330"/>
        <v>88</v>
      </c>
      <c r="BI76" s="27">
        <f t="shared" si="330"/>
        <v>96</v>
      </c>
      <c r="BJ76" s="27">
        <f t="shared" si="330"/>
        <v>104</v>
      </c>
      <c r="BK76" s="27">
        <f t="shared" si="330"/>
        <v>114</v>
      </c>
      <c r="BL76" s="27">
        <f t="shared" si="330"/>
        <v>124</v>
      </c>
      <c r="BM76" s="27">
        <f t="shared" si="330"/>
        <v>136</v>
      </c>
      <c r="BN76" s="27">
        <f t="shared" si="330"/>
        <v>148</v>
      </c>
    </row>
    <row r="77" spans="2:66" x14ac:dyDescent="0.3">
      <c r="C77" t="str">
        <f>C64</f>
        <v>Executive Headcount</v>
      </c>
      <c r="G77" s="27">
        <f t="shared" ref="G77:AL77" si="331">G64</f>
        <v>0</v>
      </c>
      <c r="H77" s="27">
        <f t="shared" si="331"/>
        <v>0</v>
      </c>
      <c r="I77" s="27">
        <f t="shared" si="331"/>
        <v>0</v>
      </c>
      <c r="J77" s="27">
        <f t="shared" si="331"/>
        <v>0</v>
      </c>
      <c r="K77" s="27">
        <f t="shared" si="331"/>
        <v>0</v>
      </c>
      <c r="L77" s="27">
        <f t="shared" si="331"/>
        <v>0</v>
      </c>
      <c r="M77" s="27">
        <f t="shared" si="331"/>
        <v>0</v>
      </c>
      <c r="N77" s="27">
        <f t="shared" si="331"/>
        <v>0</v>
      </c>
      <c r="O77" s="27">
        <f t="shared" si="331"/>
        <v>0</v>
      </c>
      <c r="P77" s="27">
        <f t="shared" si="331"/>
        <v>1</v>
      </c>
      <c r="Q77" s="27">
        <f t="shared" si="331"/>
        <v>1</v>
      </c>
      <c r="R77" s="27">
        <f t="shared" si="331"/>
        <v>1</v>
      </c>
      <c r="S77" s="27">
        <f t="shared" si="331"/>
        <v>1</v>
      </c>
      <c r="T77" s="27">
        <f t="shared" si="331"/>
        <v>1</v>
      </c>
      <c r="U77" s="27">
        <f t="shared" si="331"/>
        <v>1</v>
      </c>
      <c r="V77" s="27">
        <f t="shared" si="331"/>
        <v>2</v>
      </c>
      <c r="W77" s="27">
        <f t="shared" si="331"/>
        <v>2</v>
      </c>
      <c r="X77" s="27">
        <f t="shared" si="331"/>
        <v>2</v>
      </c>
      <c r="Y77" s="27">
        <f t="shared" si="331"/>
        <v>2</v>
      </c>
      <c r="Z77" s="27">
        <f t="shared" si="331"/>
        <v>3</v>
      </c>
      <c r="AA77" s="27">
        <f t="shared" si="331"/>
        <v>3</v>
      </c>
      <c r="AB77" s="27">
        <f t="shared" si="331"/>
        <v>3</v>
      </c>
      <c r="AC77" s="27">
        <f t="shared" si="331"/>
        <v>4</v>
      </c>
      <c r="AD77" s="27">
        <f t="shared" si="331"/>
        <v>4</v>
      </c>
      <c r="AE77" s="27">
        <f t="shared" si="331"/>
        <v>4</v>
      </c>
      <c r="AF77" s="27">
        <f t="shared" si="331"/>
        <v>5</v>
      </c>
      <c r="AG77" s="27">
        <f t="shared" si="331"/>
        <v>5</v>
      </c>
      <c r="AH77" s="27">
        <f t="shared" si="331"/>
        <v>6</v>
      </c>
      <c r="AI77" s="27">
        <f t="shared" si="331"/>
        <v>6</v>
      </c>
      <c r="AJ77" s="27">
        <f t="shared" si="331"/>
        <v>7</v>
      </c>
      <c r="AK77" s="27">
        <f t="shared" si="331"/>
        <v>8</v>
      </c>
      <c r="AL77" s="27">
        <f t="shared" si="331"/>
        <v>8</v>
      </c>
      <c r="AM77" s="27">
        <f t="shared" ref="AM77:BN77" si="332">AM64</f>
        <v>9</v>
      </c>
      <c r="AN77" s="27">
        <f t="shared" si="332"/>
        <v>10</v>
      </c>
      <c r="AO77" s="27">
        <f t="shared" si="332"/>
        <v>11</v>
      </c>
      <c r="AP77" s="27">
        <f t="shared" si="332"/>
        <v>12</v>
      </c>
      <c r="AQ77" s="27">
        <f t="shared" si="332"/>
        <v>13</v>
      </c>
      <c r="AR77" s="27">
        <f t="shared" si="332"/>
        <v>14</v>
      </c>
      <c r="AS77" s="27">
        <f t="shared" si="332"/>
        <v>15</v>
      </c>
      <c r="AT77" s="27">
        <f t="shared" si="332"/>
        <v>17</v>
      </c>
      <c r="AU77" s="27">
        <f t="shared" si="332"/>
        <v>18</v>
      </c>
      <c r="AV77" s="27">
        <f t="shared" si="332"/>
        <v>20</v>
      </c>
      <c r="AW77" s="27">
        <f t="shared" si="332"/>
        <v>22</v>
      </c>
      <c r="AX77" s="27">
        <f t="shared" si="332"/>
        <v>24</v>
      </c>
      <c r="AY77" s="27">
        <f t="shared" si="332"/>
        <v>26</v>
      </c>
      <c r="AZ77" s="27">
        <f t="shared" si="332"/>
        <v>29</v>
      </c>
      <c r="BA77" s="27">
        <f t="shared" si="332"/>
        <v>31</v>
      </c>
      <c r="BB77" s="27">
        <f t="shared" si="332"/>
        <v>34</v>
      </c>
      <c r="BC77" s="27">
        <f t="shared" si="332"/>
        <v>37</v>
      </c>
      <c r="BD77" s="27">
        <f t="shared" si="332"/>
        <v>41</v>
      </c>
      <c r="BE77" s="27">
        <f t="shared" si="332"/>
        <v>45</v>
      </c>
      <c r="BF77" s="27">
        <f t="shared" si="332"/>
        <v>49</v>
      </c>
      <c r="BG77" s="27">
        <f t="shared" si="332"/>
        <v>53</v>
      </c>
      <c r="BH77" s="27">
        <f t="shared" si="332"/>
        <v>58</v>
      </c>
      <c r="BI77" s="27">
        <f t="shared" si="332"/>
        <v>64</v>
      </c>
      <c r="BJ77" s="27">
        <f t="shared" si="332"/>
        <v>70</v>
      </c>
      <c r="BK77" s="27">
        <f t="shared" si="332"/>
        <v>76</v>
      </c>
      <c r="BL77" s="27">
        <f t="shared" si="332"/>
        <v>84</v>
      </c>
      <c r="BM77" s="27">
        <f t="shared" si="332"/>
        <v>92</v>
      </c>
      <c r="BN77" s="27">
        <f t="shared" si="332"/>
        <v>100</v>
      </c>
    </row>
    <row r="78" spans="2:66" x14ac:dyDescent="0.3">
      <c r="C78" s="11" t="s">
        <v>80</v>
      </c>
      <c r="D78" s="11"/>
      <c r="E78" s="11"/>
      <c r="F78" s="11"/>
      <c r="G78" s="71">
        <f>SUM(G74:G77)</f>
        <v>4</v>
      </c>
      <c r="H78" s="71">
        <f t="shared" ref="H78:AD78" si="333">SUM(H74:H77)</f>
        <v>4</v>
      </c>
      <c r="I78" s="71">
        <f t="shared" si="333"/>
        <v>4</v>
      </c>
      <c r="J78" s="71">
        <f t="shared" si="333"/>
        <v>5</v>
      </c>
      <c r="K78" s="71">
        <f t="shared" si="333"/>
        <v>5</v>
      </c>
      <c r="L78" s="71">
        <f t="shared" si="333"/>
        <v>5</v>
      </c>
      <c r="M78" s="71">
        <f t="shared" si="333"/>
        <v>7</v>
      </c>
      <c r="N78" s="71">
        <f t="shared" si="333"/>
        <v>7</v>
      </c>
      <c r="O78" s="71">
        <f t="shared" si="333"/>
        <v>7</v>
      </c>
      <c r="P78" s="71">
        <f t="shared" si="333"/>
        <v>9</v>
      </c>
      <c r="Q78" s="71">
        <f t="shared" si="333"/>
        <v>9</v>
      </c>
      <c r="R78" s="71">
        <f t="shared" si="333"/>
        <v>10</v>
      </c>
      <c r="S78" s="71">
        <f t="shared" si="333"/>
        <v>11</v>
      </c>
      <c r="T78" s="71">
        <f t="shared" si="333"/>
        <v>11</v>
      </c>
      <c r="U78" s="71">
        <f t="shared" si="333"/>
        <v>11</v>
      </c>
      <c r="V78" s="71">
        <f t="shared" si="333"/>
        <v>14</v>
      </c>
      <c r="W78" s="71">
        <f t="shared" si="333"/>
        <v>14</v>
      </c>
      <c r="X78" s="71">
        <f t="shared" si="333"/>
        <v>14</v>
      </c>
      <c r="Y78" s="71">
        <f t="shared" si="333"/>
        <v>16</v>
      </c>
      <c r="Z78" s="71">
        <f t="shared" si="333"/>
        <v>17</v>
      </c>
      <c r="AA78" s="71">
        <f t="shared" si="333"/>
        <v>17</v>
      </c>
      <c r="AB78" s="71">
        <f t="shared" si="333"/>
        <v>19</v>
      </c>
      <c r="AC78" s="71">
        <f t="shared" si="333"/>
        <v>20</v>
      </c>
      <c r="AD78" s="71">
        <f t="shared" si="333"/>
        <v>21</v>
      </c>
      <c r="AE78" s="71">
        <f t="shared" ref="AE78:BN78" si="334">SUM(AE74:AE77)</f>
        <v>22</v>
      </c>
      <c r="AF78" s="71">
        <f t="shared" si="334"/>
        <v>24</v>
      </c>
      <c r="AG78" s="71">
        <f t="shared" si="334"/>
        <v>25</v>
      </c>
      <c r="AH78" s="71">
        <f t="shared" si="334"/>
        <v>28</v>
      </c>
      <c r="AI78" s="71">
        <f t="shared" si="334"/>
        <v>28</v>
      </c>
      <c r="AJ78" s="71">
        <f t="shared" si="334"/>
        <v>30</v>
      </c>
      <c r="AK78" s="71">
        <f t="shared" si="334"/>
        <v>33</v>
      </c>
      <c r="AL78" s="71">
        <f t="shared" si="334"/>
        <v>34</v>
      </c>
      <c r="AM78" s="71">
        <f t="shared" si="334"/>
        <v>37</v>
      </c>
      <c r="AN78" s="71">
        <f t="shared" si="334"/>
        <v>40</v>
      </c>
      <c r="AO78" s="71">
        <f t="shared" si="334"/>
        <v>42</v>
      </c>
      <c r="AP78" s="71">
        <f t="shared" si="334"/>
        <v>45</v>
      </c>
      <c r="AQ78" s="71">
        <f t="shared" si="334"/>
        <v>48</v>
      </c>
      <c r="AR78" s="71">
        <f t="shared" si="334"/>
        <v>51</v>
      </c>
      <c r="AS78" s="71">
        <f t="shared" si="334"/>
        <v>54</v>
      </c>
      <c r="AT78" s="71">
        <f t="shared" si="334"/>
        <v>59</v>
      </c>
      <c r="AU78" s="71">
        <f t="shared" si="334"/>
        <v>63</v>
      </c>
      <c r="AV78" s="71">
        <f t="shared" si="334"/>
        <v>67</v>
      </c>
      <c r="AW78" s="71">
        <f t="shared" si="334"/>
        <v>73</v>
      </c>
      <c r="AX78" s="71">
        <f t="shared" si="334"/>
        <v>78</v>
      </c>
      <c r="AY78" s="71">
        <f t="shared" si="334"/>
        <v>83</v>
      </c>
      <c r="AZ78" s="71">
        <f t="shared" si="334"/>
        <v>91</v>
      </c>
      <c r="BA78" s="71">
        <f t="shared" si="334"/>
        <v>97</v>
      </c>
      <c r="BB78" s="71">
        <f t="shared" si="334"/>
        <v>104</v>
      </c>
      <c r="BC78" s="71">
        <f t="shared" si="334"/>
        <v>113</v>
      </c>
      <c r="BD78" s="71">
        <f t="shared" si="334"/>
        <v>122</v>
      </c>
      <c r="BE78" s="71">
        <f t="shared" si="334"/>
        <v>131</v>
      </c>
      <c r="BF78" s="71">
        <f t="shared" si="334"/>
        <v>143</v>
      </c>
      <c r="BG78" s="71">
        <f t="shared" si="334"/>
        <v>153</v>
      </c>
      <c r="BH78" s="71">
        <f t="shared" si="334"/>
        <v>166</v>
      </c>
      <c r="BI78" s="71">
        <f t="shared" si="334"/>
        <v>181</v>
      </c>
      <c r="BJ78" s="71">
        <f t="shared" si="334"/>
        <v>195</v>
      </c>
      <c r="BK78" s="71">
        <f t="shared" si="334"/>
        <v>211</v>
      </c>
      <c r="BL78" s="71">
        <f t="shared" si="334"/>
        <v>230</v>
      </c>
      <c r="BM78" s="71">
        <f t="shared" si="334"/>
        <v>250</v>
      </c>
      <c r="BN78" s="71">
        <f t="shared" si="334"/>
        <v>270</v>
      </c>
    </row>
    <row r="79" spans="2:66" x14ac:dyDescent="0.3">
      <c r="C79" s="25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</row>
    <row r="80" spans="2:66" x14ac:dyDescent="0.3">
      <c r="B80" s="22" t="s">
        <v>0</v>
      </c>
      <c r="C80" s="23" t="s">
        <v>74</v>
      </c>
      <c r="E80" s="63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</row>
    <row r="81" spans="2:66" ht="3" customHeight="1" x14ac:dyDescent="0.3"/>
    <row r="82" spans="2:66" x14ac:dyDescent="0.3">
      <c r="C82" s="5" t="s">
        <v>75</v>
      </c>
      <c r="D82" s="5"/>
      <c r="E82" s="72"/>
      <c r="F82" s="5"/>
      <c r="G82" s="38">
        <f>G83*G$35</f>
        <v>210.625</v>
      </c>
      <c r="H82" s="38">
        <f t="shared" ref="H82:BN82" si="335">H83*H$35</f>
        <v>419.25</v>
      </c>
      <c r="I82" s="38">
        <f t="shared" si="335"/>
        <v>630.375</v>
      </c>
      <c r="J82" s="38">
        <f t="shared" si="335"/>
        <v>844</v>
      </c>
      <c r="K82" s="38">
        <f t="shared" si="335"/>
        <v>1064.5</v>
      </c>
      <c r="L82" s="38">
        <f t="shared" si="335"/>
        <v>1293.375</v>
      </c>
      <c r="M82" s="38">
        <f t="shared" si="335"/>
        <v>1533.625</v>
      </c>
      <c r="N82" s="38">
        <f t="shared" si="335"/>
        <v>1786.625</v>
      </c>
      <c r="O82" s="38">
        <f t="shared" si="335"/>
        <v>2055.375</v>
      </c>
      <c r="P82" s="38">
        <f t="shared" si="335"/>
        <v>2341.25</v>
      </c>
      <c r="Q82" s="38">
        <f t="shared" si="335"/>
        <v>2645.75</v>
      </c>
      <c r="R82" s="38">
        <f t="shared" si="335"/>
        <v>2971.75</v>
      </c>
      <c r="S82" s="38">
        <f t="shared" si="335"/>
        <v>3297.625</v>
      </c>
      <c r="T82" s="38">
        <f t="shared" si="335"/>
        <v>3648.125</v>
      </c>
      <c r="U82" s="38">
        <f t="shared" si="335"/>
        <v>4026.125</v>
      </c>
      <c r="V82" s="38">
        <f t="shared" si="335"/>
        <v>4436</v>
      </c>
      <c r="W82" s="38">
        <f t="shared" si="335"/>
        <v>4879.25</v>
      </c>
      <c r="X82" s="38">
        <f t="shared" si="335"/>
        <v>5358.875</v>
      </c>
      <c r="Y82" s="38">
        <f t="shared" si="335"/>
        <v>5879.25</v>
      </c>
      <c r="Z82" s="38">
        <f t="shared" si="335"/>
        <v>6444.75</v>
      </c>
      <c r="AA82" s="38">
        <f t="shared" si="335"/>
        <v>7058.25</v>
      </c>
      <c r="AB82" s="38">
        <f t="shared" si="335"/>
        <v>7727.125</v>
      </c>
      <c r="AC82" s="38">
        <f t="shared" si="335"/>
        <v>8454.375</v>
      </c>
      <c r="AD82" s="38">
        <f t="shared" si="335"/>
        <v>9242.875</v>
      </c>
      <c r="AE82" s="38">
        <f t="shared" si="335"/>
        <v>10053.375</v>
      </c>
      <c r="AF82" s="38">
        <f t="shared" si="335"/>
        <v>10935.625</v>
      </c>
      <c r="AG82" s="38">
        <f t="shared" si="335"/>
        <v>11897</v>
      </c>
      <c r="AH82" s="38">
        <f t="shared" si="335"/>
        <v>12946.375</v>
      </c>
      <c r="AI82" s="38">
        <f t="shared" si="335"/>
        <v>14088.125</v>
      </c>
      <c r="AJ82" s="38">
        <f t="shared" si="335"/>
        <v>15334</v>
      </c>
      <c r="AK82" s="38">
        <f t="shared" si="335"/>
        <v>16692.875</v>
      </c>
      <c r="AL82" s="38">
        <f t="shared" si="335"/>
        <v>18173.75</v>
      </c>
      <c r="AM82" s="38">
        <f t="shared" si="335"/>
        <v>19788.375</v>
      </c>
      <c r="AN82" s="38">
        <f t="shared" si="335"/>
        <v>21548.5</v>
      </c>
      <c r="AO82" s="38">
        <f t="shared" si="335"/>
        <v>23471.75</v>
      </c>
      <c r="AP82" s="38">
        <f t="shared" si="335"/>
        <v>25570.125</v>
      </c>
      <c r="AQ82" s="38">
        <f t="shared" si="335"/>
        <v>27858.5</v>
      </c>
      <c r="AR82" s="38">
        <f t="shared" si="335"/>
        <v>30358.875</v>
      </c>
      <c r="AS82" s="38">
        <f t="shared" si="335"/>
        <v>33090.5</v>
      </c>
      <c r="AT82" s="38">
        <f t="shared" si="335"/>
        <v>36071.25</v>
      </c>
      <c r="AU82" s="38">
        <f t="shared" si="335"/>
        <v>39329.125</v>
      </c>
      <c r="AV82" s="38">
        <f t="shared" si="335"/>
        <v>42889.25</v>
      </c>
      <c r="AW82" s="38">
        <f t="shared" si="335"/>
        <v>46779.875</v>
      </c>
      <c r="AX82" s="38">
        <f t="shared" si="335"/>
        <v>51033.5</v>
      </c>
      <c r="AY82" s="38">
        <f t="shared" si="335"/>
        <v>55682.75</v>
      </c>
      <c r="AZ82" s="38">
        <f t="shared" si="335"/>
        <v>60763.25</v>
      </c>
      <c r="BA82" s="38">
        <f t="shared" si="335"/>
        <v>66318</v>
      </c>
      <c r="BB82" s="38">
        <f t="shared" si="335"/>
        <v>72392.875</v>
      </c>
      <c r="BC82" s="38">
        <f t="shared" si="335"/>
        <v>79036.875</v>
      </c>
      <c r="BD82" s="38">
        <f t="shared" si="335"/>
        <v>86305</v>
      </c>
      <c r="BE82" s="38">
        <f t="shared" si="335"/>
        <v>94252.25</v>
      </c>
      <c r="BF82" s="38">
        <f t="shared" si="335"/>
        <v>102948.125</v>
      </c>
      <c r="BG82" s="38">
        <f t="shared" si="335"/>
        <v>112462.625</v>
      </c>
      <c r="BH82" s="38">
        <f t="shared" si="335"/>
        <v>122874.5</v>
      </c>
      <c r="BI82" s="38">
        <f t="shared" si="335"/>
        <v>134268.375</v>
      </c>
      <c r="BJ82" s="38">
        <f t="shared" si="335"/>
        <v>146740.875</v>
      </c>
      <c r="BK82" s="38">
        <f t="shared" si="335"/>
        <v>160393.125</v>
      </c>
      <c r="BL82" s="38">
        <f t="shared" si="335"/>
        <v>175336.75</v>
      </c>
      <c r="BM82" s="38">
        <f t="shared" si="335"/>
        <v>191696.625</v>
      </c>
      <c r="BN82" s="38">
        <f t="shared" si="335"/>
        <v>209611</v>
      </c>
    </row>
    <row r="83" spans="2:66" x14ac:dyDescent="0.3">
      <c r="C83" s="25" t="s">
        <v>55</v>
      </c>
      <c r="E83" s="68">
        <f>Assumptions!$E$40</f>
        <v>0.05</v>
      </c>
      <c r="G83" s="70">
        <f>$E$83</f>
        <v>0.05</v>
      </c>
      <c r="H83" s="70">
        <f t="shared" ref="H83:BN83" si="336">$E$83</f>
        <v>0.05</v>
      </c>
      <c r="I83" s="70">
        <f t="shared" si="336"/>
        <v>0.05</v>
      </c>
      <c r="J83" s="70">
        <f t="shared" si="336"/>
        <v>0.05</v>
      </c>
      <c r="K83" s="70">
        <f t="shared" si="336"/>
        <v>0.05</v>
      </c>
      <c r="L83" s="70">
        <f t="shared" si="336"/>
        <v>0.05</v>
      </c>
      <c r="M83" s="70">
        <f t="shared" si="336"/>
        <v>0.05</v>
      </c>
      <c r="N83" s="70">
        <f t="shared" si="336"/>
        <v>0.05</v>
      </c>
      <c r="O83" s="70">
        <f t="shared" si="336"/>
        <v>0.05</v>
      </c>
      <c r="P83" s="70">
        <f t="shared" si="336"/>
        <v>0.05</v>
      </c>
      <c r="Q83" s="70">
        <f t="shared" si="336"/>
        <v>0.05</v>
      </c>
      <c r="R83" s="70">
        <f t="shared" si="336"/>
        <v>0.05</v>
      </c>
      <c r="S83" s="70">
        <f t="shared" si="336"/>
        <v>0.05</v>
      </c>
      <c r="T83" s="70">
        <f t="shared" si="336"/>
        <v>0.05</v>
      </c>
      <c r="U83" s="70">
        <f t="shared" si="336"/>
        <v>0.05</v>
      </c>
      <c r="V83" s="70">
        <f t="shared" si="336"/>
        <v>0.05</v>
      </c>
      <c r="W83" s="70">
        <f t="shared" si="336"/>
        <v>0.05</v>
      </c>
      <c r="X83" s="70">
        <f t="shared" si="336"/>
        <v>0.05</v>
      </c>
      <c r="Y83" s="70">
        <f t="shared" si="336"/>
        <v>0.05</v>
      </c>
      <c r="Z83" s="70">
        <f t="shared" si="336"/>
        <v>0.05</v>
      </c>
      <c r="AA83" s="70">
        <f t="shared" si="336"/>
        <v>0.05</v>
      </c>
      <c r="AB83" s="70">
        <f t="shared" si="336"/>
        <v>0.05</v>
      </c>
      <c r="AC83" s="70">
        <f t="shared" si="336"/>
        <v>0.05</v>
      </c>
      <c r="AD83" s="70">
        <f t="shared" si="336"/>
        <v>0.05</v>
      </c>
      <c r="AE83" s="70">
        <f t="shared" si="336"/>
        <v>0.05</v>
      </c>
      <c r="AF83" s="70">
        <f t="shared" si="336"/>
        <v>0.05</v>
      </c>
      <c r="AG83" s="70">
        <f t="shared" si="336"/>
        <v>0.05</v>
      </c>
      <c r="AH83" s="70">
        <f t="shared" si="336"/>
        <v>0.05</v>
      </c>
      <c r="AI83" s="70">
        <f t="shared" si="336"/>
        <v>0.05</v>
      </c>
      <c r="AJ83" s="70">
        <f t="shared" si="336"/>
        <v>0.05</v>
      </c>
      <c r="AK83" s="70">
        <f t="shared" si="336"/>
        <v>0.05</v>
      </c>
      <c r="AL83" s="70">
        <f t="shared" si="336"/>
        <v>0.05</v>
      </c>
      <c r="AM83" s="70">
        <f t="shared" si="336"/>
        <v>0.05</v>
      </c>
      <c r="AN83" s="70">
        <f t="shared" si="336"/>
        <v>0.05</v>
      </c>
      <c r="AO83" s="70">
        <f t="shared" si="336"/>
        <v>0.05</v>
      </c>
      <c r="AP83" s="70">
        <f t="shared" si="336"/>
        <v>0.05</v>
      </c>
      <c r="AQ83" s="70">
        <f t="shared" si="336"/>
        <v>0.05</v>
      </c>
      <c r="AR83" s="70">
        <f t="shared" si="336"/>
        <v>0.05</v>
      </c>
      <c r="AS83" s="70">
        <f t="shared" si="336"/>
        <v>0.05</v>
      </c>
      <c r="AT83" s="70">
        <f t="shared" si="336"/>
        <v>0.05</v>
      </c>
      <c r="AU83" s="70">
        <f t="shared" si="336"/>
        <v>0.05</v>
      </c>
      <c r="AV83" s="70">
        <f t="shared" si="336"/>
        <v>0.05</v>
      </c>
      <c r="AW83" s="70">
        <f t="shared" si="336"/>
        <v>0.05</v>
      </c>
      <c r="AX83" s="70">
        <f t="shared" si="336"/>
        <v>0.05</v>
      </c>
      <c r="AY83" s="70">
        <f t="shared" si="336"/>
        <v>0.05</v>
      </c>
      <c r="AZ83" s="70">
        <f t="shared" si="336"/>
        <v>0.05</v>
      </c>
      <c r="BA83" s="70">
        <f t="shared" si="336"/>
        <v>0.05</v>
      </c>
      <c r="BB83" s="70">
        <f t="shared" si="336"/>
        <v>0.05</v>
      </c>
      <c r="BC83" s="70">
        <f t="shared" si="336"/>
        <v>0.05</v>
      </c>
      <c r="BD83" s="70">
        <f t="shared" si="336"/>
        <v>0.05</v>
      </c>
      <c r="BE83" s="70">
        <f t="shared" si="336"/>
        <v>0.05</v>
      </c>
      <c r="BF83" s="70">
        <f t="shared" si="336"/>
        <v>0.05</v>
      </c>
      <c r="BG83" s="70">
        <f t="shared" si="336"/>
        <v>0.05</v>
      </c>
      <c r="BH83" s="70">
        <f t="shared" si="336"/>
        <v>0.05</v>
      </c>
      <c r="BI83" s="70">
        <f t="shared" si="336"/>
        <v>0.05</v>
      </c>
      <c r="BJ83" s="70">
        <f t="shared" si="336"/>
        <v>0.05</v>
      </c>
      <c r="BK83" s="70">
        <f t="shared" si="336"/>
        <v>0.05</v>
      </c>
      <c r="BL83" s="70">
        <f t="shared" si="336"/>
        <v>0.05</v>
      </c>
      <c r="BM83" s="70">
        <f t="shared" si="336"/>
        <v>0.05</v>
      </c>
      <c r="BN83" s="70">
        <f t="shared" si="336"/>
        <v>0.05</v>
      </c>
    </row>
    <row r="84" spans="2:66" x14ac:dyDescent="0.3"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  <c r="AY84" s="163"/>
      <c r="AZ84" s="163"/>
      <c r="BA84" s="163"/>
      <c r="BB84" s="163"/>
      <c r="BC84" s="163"/>
      <c r="BD84" s="163"/>
      <c r="BE84" s="163"/>
      <c r="BF84" s="163"/>
      <c r="BG84" s="163"/>
      <c r="BH84" s="163"/>
      <c r="BI84" s="163"/>
      <c r="BJ84" s="163"/>
      <c r="BK84" s="163"/>
      <c r="BL84" s="163"/>
      <c r="BM84" s="163"/>
      <c r="BN84" s="163"/>
    </row>
    <row r="85" spans="2:66" x14ac:dyDescent="0.3">
      <c r="B85" s="22" t="s">
        <v>0</v>
      </c>
      <c r="C85" s="23" t="s">
        <v>76</v>
      </c>
      <c r="E85" s="63"/>
    </row>
    <row r="86" spans="2:66" ht="3" customHeight="1" x14ac:dyDescent="0.3"/>
    <row r="87" spans="2:66" ht="14.4" customHeight="1" x14ac:dyDescent="0.3">
      <c r="C87" t="str">
        <f>C18</f>
        <v>New Monthly Subscribers</v>
      </c>
      <c r="G87" s="27">
        <f>G18</f>
        <v>90</v>
      </c>
      <c r="H87" s="27">
        <f t="shared" ref="H87:BN87" si="337">H18</f>
        <v>99</v>
      </c>
      <c r="I87" s="27">
        <f t="shared" si="337"/>
        <v>109</v>
      </c>
      <c r="J87" s="27">
        <f t="shared" si="337"/>
        <v>120</v>
      </c>
      <c r="K87" s="27">
        <f t="shared" si="337"/>
        <v>132</v>
      </c>
      <c r="L87" s="27">
        <f t="shared" si="337"/>
        <v>145</v>
      </c>
      <c r="M87" s="27">
        <f t="shared" si="337"/>
        <v>160</v>
      </c>
      <c r="N87" s="27">
        <f t="shared" si="337"/>
        <v>176</v>
      </c>
      <c r="O87" s="27">
        <f t="shared" si="337"/>
        <v>194</v>
      </c>
      <c r="P87" s="27">
        <f t="shared" si="337"/>
        <v>213</v>
      </c>
      <c r="Q87" s="27">
        <f t="shared" si="337"/>
        <v>234</v>
      </c>
      <c r="R87" s="27">
        <f t="shared" si="337"/>
        <v>257</v>
      </c>
      <c r="S87" s="27">
        <f t="shared" si="337"/>
        <v>283</v>
      </c>
      <c r="T87" s="27">
        <f t="shared" si="337"/>
        <v>311</v>
      </c>
      <c r="U87" s="27">
        <f t="shared" si="337"/>
        <v>342</v>
      </c>
      <c r="V87" s="27">
        <f t="shared" si="337"/>
        <v>376</v>
      </c>
      <c r="W87" s="27">
        <f t="shared" si="337"/>
        <v>414</v>
      </c>
      <c r="X87" s="27">
        <f t="shared" si="337"/>
        <v>455</v>
      </c>
      <c r="Y87" s="27">
        <f t="shared" si="337"/>
        <v>501</v>
      </c>
      <c r="Z87" s="27">
        <f t="shared" si="337"/>
        <v>551</v>
      </c>
      <c r="AA87" s="27">
        <f t="shared" si="337"/>
        <v>606</v>
      </c>
      <c r="AB87" s="27">
        <f t="shared" si="337"/>
        <v>667</v>
      </c>
      <c r="AC87" s="27">
        <f t="shared" si="337"/>
        <v>734</v>
      </c>
      <c r="AD87" s="27">
        <f t="shared" si="337"/>
        <v>807</v>
      </c>
      <c r="AE87" s="27">
        <f t="shared" si="337"/>
        <v>888</v>
      </c>
      <c r="AF87" s="27">
        <f t="shared" si="337"/>
        <v>977</v>
      </c>
      <c r="AG87" s="27">
        <f t="shared" si="337"/>
        <v>1075</v>
      </c>
      <c r="AH87" s="27">
        <f t="shared" si="337"/>
        <v>1183</v>
      </c>
      <c r="AI87" s="27">
        <f t="shared" si="337"/>
        <v>1301</v>
      </c>
      <c r="AJ87" s="27">
        <f t="shared" si="337"/>
        <v>1431</v>
      </c>
      <c r="AK87" s="27">
        <f t="shared" si="337"/>
        <v>1574</v>
      </c>
      <c r="AL87" s="27">
        <f t="shared" si="337"/>
        <v>1731</v>
      </c>
      <c r="AM87" s="27">
        <f t="shared" si="337"/>
        <v>1904</v>
      </c>
      <c r="AN87" s="27">
        <f t="shared" si="337"/>
        <v>2094</v>
      </c>
      <c r="AO87" s="27">
        <f t="shared" si="337"/>
        <v>2303</v>
      </c>
      <c r="AP87" s="27">
        <f t="shared" si="337"/>
        <v>2533</v>
      </c>
      <c r="AQ87" s="27">
        <f t="shared" si="337"/>
        <v>2786</v>
      </c>
      <c r="AR87" s="27">
        <f t="shared" si="337"/>
        <v>3065</v>
      </c>
      <c r="AS87" s="27">
        <f t="shared" si="337"/>
        <v>3372</v>
      </c>
      <c r="AT87" s="27">
        <f t="shared" si="337"/>
        <v>3709</v>
      </c>
      <c r="AU87" s="27">
        <f t="shared" si="337"/>
        <v>4080</v>
      </c>
      <c r="AV87" s="27">
        <f t="shared" si="337"/>
        <v>4488</v>
      </c>
      <c r="AW87" s="27">
        <f t="shared" si="337"/>
        <v>4937</v>
      </c>
      <c r="AX87" s="27">
        <f t="shared" si="337"/>
        <v>5431</v>
      </c>
      <c r="AY87" s="27">
        <f t="shared" si="337"/>
        <v>5974</v>
      </c>
      <c r="AZ87" s="27">
        <f t="shared" si="337"/>
        <v>6571</v>
      </c>
      <c r="BA87" s="27">
        <f t="shared" si="337"/>
        <v>7228</v>
      </c>
      <c r="BB87" s="27">
        <f t="shared" si="337"/>
        <v>7951</v>
      </c>
      <c r="BC87" s="27">
        <f t="shared" si="337"/>
        <v>8746</v>
      </c>
      <c r="BD87" s="27">
        <f t="shared" si="337"/>
        <v>9621</v>
      </c>
      <c r="BE87" s="27">
        <f t="shared" si="337"/>
        <v>10583</v>
      </c>
      <c r="BF87" s="27">
        <f t="shared" si="337"/>
        <v>11641</v>
      </c>
      <c r="BG87" s="27">
        <f t="shared" si="337"/>
        <v>12805</v>
      </c>
      <c r="BH87" s="27">
        <f t="shared" si="337"/>
        <v>14086</v>
      </c>
      <c r="BI87" s="27">
        <f t="shared" si="337"/>
        <v>15495</v>
      </c>
      <c r="BJ87" s="27">
        <f t="shared" si="337"/>
        <v>17045</v>
      </c>
      <c r="BK87" s="27">
        <f t="shared" si="337"/>
        <v>18750</v>
      </c>
      <c r="BL87" s="27">
        <f t="shared" si="337"/>
        <v>20625</v>
      </c>
      <c r="BM87" s="27">
        <f t="shared" si="337"/>
        <v>22688</v>
      </c>
      <c r="BN87" s="27">
        <f t="shared" si="337"/>
        <v>24957</v>
      </c>
    </row>
    <row r="88" spans="2:66" ht="14.4" customHeight="1" x14ac:dyDescent="0.3">
      <c r="C88" t="s">
        <v>211</v>
      </c>
      <c r="E88" s="72">
        <f>Assumptions!E45</f>
        <v>100</v>
      </c>
      <c r="F88" s="68">
        <f>Assumptions!$E$46</f>
        <v>0.05</v>
      </c>
      <c r="G88" s="17">
        <f>$E88</f>
        <v>100</v>
      </c>
      <c r="H88" s="17">
        <f>G88-G88*IF(MOD(MONTH(H$6)-1,3)=0,1,0)*$F88</f>
        <v>100</v>
      </c>
      <c r="I88" s="17">
        <f t="shared" ref="I88:BN88" si="338">H88-H88*IF(MOD(MONTH(I$6)-1,3)=0,1,0)*$F88</f>
        <v>100</v>
      </c>
      <c r="J88" s="17">
        <f t="shared" si="338"/>
        <v>95</v>
      </c>
      <c r="K88" s="17">
        <f t="shared" si="338"/>
        <v>95</v>
      </c>
      <c r="L88" s="17">
        <f t="shared" si="338"/>
        <v>95</v>
      </c>
      <c r="M88" s="17">
        <f t="shared" si="338"/>
        <v>90.25</v>
      </c>
      <c r="N88" s="17">
        <f t="shared" si="338"/>
        <v>90.25</v>
      </c>
      <c r="O88" s="17">
        <f t="shared" si="338"/>
        <v>90.25</v>
      </c>
      <c r="P88" s="17">
        <f t="shared" si="338"/>
        <v>85.737499999999997</v>
      </c>
      <c r="Q88" s="17">
        <f t="shared" si="338"/>
        <v>85.737499999999997</v>
      </c>
      <c r="R88" s="17">
        <f t="shared" si="338"/>
        <v>85.737499999999997</v>
      </c>
      <c r="S88" s="17">
        <f t="shared" si="338"/>
        <v>81.450625000000002</v>
      </c>
      <c r="T88" s="17">
        <f t="shared" si="338"/>
        <v>81.450625000000002</v>
      </c>
      <c r="U88" s="17">
        <f t="shared" si="338"/>
        <v>81.450625000000002</v>
      </c>
      <c r="V88" s="17">
        <f t="shared" si="338"/>
        <v>77.378093750000005</v>
      </c>
      <c r="W88" s="17">
        <f t="shared" si="338"/>
        <v>77.378093750000005</v>
      </c>
      <c r="X88" s="17">
        <f t="shared" si="338"/>
        <v>77.378093750000005</v>
      </c>
      <c r="Y88" s="17">
        <f t="shared" si="338"/>
        <v>73.509189062499999</v>
      </c>
      <c r="Z88" s="17">
        <f t="shared" si="338"/>
        <v>73.509189062499999</v>
      </c>
      <c r="AA88" s="17">
        <f t="shared" si="338"/>
        <v>73.509189062499999</v>
      </c>
      <c r="AB88" s="17">
        <f t="shared" si="338"/>
        <v>69.833729609374998</v>
      </c>
      <c r="AC88" s="17">
        <f t="shared" si="338"/>
        <v>69.833729609374998</v>
      </c>
      <c r="AD88" s="17">
        <f t="shared" si="338"/>
        <v>69.833729609374998</v>
      </c>
      <c r="AE88" s="17">
        <f t="shared" si="338"/>
        <v>66.342043128906255</v>
      </c>
      <c r="AF88" s="17">
        <f t="shared" si="338"/>
        <v>66.342043128906255</v>
      </c>
      <c r="AG88" s="17">
        <f t="shared" si="338"/>
        <v>66.342043128906255</v>
      </c>
      <c r="AH88" s="17">
        <f t="shared" si="338"/>
        <v>63.024940972460939</v>
      </c>
      <c r="AI88" s="17">
        <f t="shared" si="338"/>
        <v>63.024940972460939</v>
      </c>
      <c r="AJ88" s="17">
        <f t="shared" si="338"/>
        <v>63.024940972460939</v>
      </c>
      <c r="AK88" s="17">
        <f t="shared" si="338"/>
        <v>59.873693923837891</v>
      </c>
      <c r="AL88" s="17">
        <f t="shared" si="338"/>
        <v>59.873693923837891</v>
      </c>
      <c r="AM88" s="17">
        <f t="shared" si="338"/>
        <v>59.873693923837891</v>
      </c>
      <c r="AN88" s="17">
        <f t="shared" si="338"/>
        <v>56.880009227645999</v>
      </c>
      <c r="AO88" s="17">
        <f t="shared" si="338"/>
        <v>56.880009227645999</v>
      </c>
      <c r="AP88" s="17">
        <f t="shared" si="338"/>
        <v>56.880009227645999</v>
      </c>
      <c r="AQ88" s="17">
        <f t="shared" si="338"/>
        <v>54.036008766263699</v>
      </c>
      <c r="AR88" s="17">
        <f t="shared" si="338"/>
        <v>54.036008766263699</v>
      </c>
      <c r="AS88" s="17">
        <f t="shared" si="338"/>
        <v>54.036008766263699</v>
      </c>
      <c r="AT88" s="17">
        <f t="shared" si="338"/>
        <v>51.334208327950513</v>
      </c>
      <c r="AU88" s="17">
        <f t="shared" si="338"/>
        <v>51.334208327950513</v>
      </c>
      <c r="AV88" s="17">
        <f t="shared" si="338"/>
        <v>51.334208327950513</v>
      </c>
      <c r="AW88" s="17">
        <f t="shared" si="338"/>
        <v>48.767497911552987</v>
      </c>
      <c r="AX88" s="17">
        <f t="shared" si="338"/>
        <v>48.767497911552987</v>
      </c>
      <c r="AY88" s="17">
        <f t="shared" si="338"/>
        <v>48.767497911552987</v>
      </c>
      <c r="AZ88" s="17">
        <f t="shared" si="338"/>
        <v>46.329123015975334</v>
      </c>
      <c r="BA88" s="17">
        <f t="shared" si="338"/>
        <v>46.329123015975334</v>
      </c>
      <c r="BB88" s="17">
        <f t="shared" si="338"/>
        <v>46.329123015975334</v>
      </c>
      <c r="BC88" s="17">
        <f t="shared" si="338"/>
        <v>44.01266686517657</v>
      </c>
      <c r="BD88" s="17">
        <f t="shared" si="338"/>
        <v>44.01266686517657</v>
      </c>
      <c r="BE88" s="17">
        <f t="shared" si="338"/>
        <v>44.01266686517657</v>
      </c>
      <c r="BF88" s="17">
        <f t="shared" si="338"/>
        <v>41.812033521917741</v>
      </c>
      <c r="BG88" s="17">
        <f t="shared" si="338"/>
        <v>41.812033521917741</v>
      </c>
      <c r="BH88" s="17">
        <f t="shared" si="338"/>
        <v>41.812033521917741</v>
      </c>
      <c r="BI88" s="17">
        <f t="shared" si="338"/>
        <v>39.721431845821854</v>
      </c>
      <c r="BJ88" s="17">
        <f t="shared" si="338"/>
        <v>39.721431845821854</v>
      </c>
      <c r="BK88" s="17">
        <f t="shared" si="338"/>
        <v>39.721431845821854</v>
      </c>
      <c r="BL88" s="17">
        <f t="shared" si="338"/>
        <v>37.735360253530764</v>
      </c>
      <c r="BM88" s="17">
        <f t="shared" si="338"/>
        <v>37.735360253530764</v>
      </c>
      <c r="BN88" s="17">
        <f t="shared" si="338"/>
        <v>37.735360253530764</v>
      </c>
    </row>
    <row r="89" spans="2:66" ht="14.4" customHeight="1" x14ac:dyDescent="0.3">
      <c r="C89" s="11" t="s">
        <v>212</v>
      </c>
      <c r="D89" s="11"/>
      <c r="E89" s="11"/>
      <c r="F89" s="11"/>
      <c r="G89" s="164">
        <f>G87*G88</f>
        <v>9000</v>
      </c>
      <c r="H89" s="164">
        <f t="shared" ref="H89:BN89" si="339">H87*H88</f>
        <v>9900</v>
      </c>
      <c r="I89" s="164">
        <f t="shared" si="339"/>
        <v>10900</v>
      </c>
      <c r="J89" s="164">
        <f t="shared" si="339"/>
        <v>11400</v>
      </c>
      <c r="K89" s="164">
        <f t="shared" si="339"/>
        <v>12540</v>
      </c>
      <c r="L89" s="164">
        <f t="shared" si="339"/>
        <v>13775</v>
      </c>
      <c r="M89" s="164">
        <f t="shared" si="339"/>
        <v>14440</v>
      </c>
      <c r="N89" s="164">
        <f t="shared" si="339"/>
        <v>15884</v>
      </c>
      <c r="O89" s="164">
        <f t="shared" si="339"/>
        <v>17508.5</v>
      </c>
      <c r="P89" s="164">
        <f t="shared" si="339"/>
        <v>18262.087499999998</v>
      </c>
      <c r="Q89" s="164">
        <f t="shared" si="339"/>
        <v>20062.575000000001</v>
      </c>
      <c r="R89" s="164">
        <f t="shared" si="339"/>
        <v>22034.537499999999</v>
      </c>
      <c r="S89" s="164">
        <f t="shared" si="339"/>
        <v>23050.526875</v>
      </c>
      <c r="T89" s="164">
        <f t="shared" si="339"/>
        <v>25331.144375</v>
      </c>
      <c r="U89" s="164">
        <f t="shared" si="339"/>
        <v>27856.11375</v>
      </c>
      <c r="V89" s="164">
        <f t="shared" si="339"/>
        <v>29094.163250000001</v>
      </c>
      <c r="W89" s="164">
        <f t="shared" si="339"/>
        <v>32034.530812500001</v>
      </c>
      <c r="X89" s="164">
        <f t="shared" si="339"/>
        <v>35207.032656250005</v>
      </c>
      <c r="Y89" s="164">
        <f t="shared" si="339"/>
        <v>36828.103720312502</v>
      </c>
      <c r="Z89" s="164">
        <f t="shared" si="339"/>
        <v>40503.563173437498</v>
      </c>
      <c r="AA89" s="164">
        <f t="shared" si="339"/>
        <v>44546.568571875003</v>
      </c>
      <c r="AB89" s="164">
        <f t="shared" si="339"/>
        <v>46579.097649453121</v>
      </c>
      <c r="AC89" s="164">
        <f t="shared" si="339"/>
        <v>51257.957533281246</v>
      </c>
      <c r="AD89" s="164">
        <f t="shared" si="339"/>
        <v>56355.819794765623</v>
      </c>
      <c r="AE89" s="164">
        <f t="shared" si="339"/>
        <v>58911.734298468757</v>
      </c>
      <c r="AF89" s="164">
        <f t="shared" si="339"/>
        <v>64816.176136941409</v>
      </c>
      <c r="AG89" s="164">
        <f t="shared" si="339"/>
        <v>71317.696363574229</v>
      </c>
      <c r="AH89" s="164">
        <f t="shared" si="339"/>
        <v>74558.505170421296</v>
      </c>
      <c r="AI89" s="164">
        <f t="shared" si="339"/>
        <v>81995.448205171677</v>
      </c>
      <c r="AJ89" s="164">
        <f t="shared" si="339"/>
        <v>90188.690531591608</v>
      </c>
      <c r="AK89" s="164">
        <f t="shared" si="339"/>
        <v>94241.194236120835</v>
      </c>
      <c r="AL89" s="164">
        <f t="shared" si="339"/>
        <v>103641.36418216339</v>
      </c>
      <c r="AM89" s="164">
        <f t="shared" si="339"/>
        <v>113999.51323098734</v>
      </c>
      <c r="AN89" s="164">
        <f t="shared" si="339"/>
        <v>119106.73932269072</v>
      </c>
      <c r="AO89" s="164">
        <f t="shared" si="339"/>
        <v>130994.66125126874</v>
      </c>
      <c r="AP89" s="164">
        <f t="shared" si="339"/>
        <v>144077.06337362732</v>
      </c>
      <c r="AQ89" s="164">
        <f t="shared" si="339"/>
        <v>150544.32042281068</v>
      </c>
      <c r="AR89" s="164">
        <f t="shared" si="339"/>
        <v>165620.36686859824</v>
      </c>
      <c r="AS89" s="164">
        <f t="shared" si="339"/>
        <v>182209.4215598412</v>
      </c>
      <c r="AT89" s="164">
        <f t="shared" si="339"/>
        <v>190398.57868836846</v>
      </c>
      <c r="AU89" s="164">
        <f t="shared" si="339"/>
        <v>209443.56997803808</v>
      </c>
      <c r="AV89" s="164">
        <f t="shared" si="339"/>
        <v>230387.9269758419</v>
      </c>
      <c r="AW89" s="164">
        <f t="shared" si="339"/>
        <v>240765.13718933708</v>
      </c>
      <c r="AX89" s="164">
        <f t="shared" si="339"/>
        <v>264856.28115764429</v>
      </c>
      <c r="AY89" s="164">
        <f t="shared" si="339"/>
        <v>291337.03252361756</v>
      </c>
      <c r="AZ89" s="164">
        <f t="shared" si="339"/>
        <v>304428.66733797389</v>
      </c>
      <c r="BA89" s="164">
        <f t="shared" si="339"/>
        <v>334866.90115946974</v>
      </c>
      <c r="BB89" s="164">
        <f t="shared" si="339"/>
        <v>368362.85710001987</v>
      </c>
      <c r="BC89" s="164">
        <f t="shared" si="339"/>
        <v>384934.78440283425</v>
      </c>
      <c r="BD89" s="164">
        <f t="shared" si="339"/>
        <v>423445.86790986377</v>
      </c>
      <c r="BE89" s="164">
        <f t="shared" si="339"/>
        <v>465786.05343416362</v>
      </c>
      <c r="BF89" s="164">
        <f t="shared" si="339"/>
        <v>486733.88222864439</v>
      </c>
      <c r="BG89" s="164">
        <f t="shared" si="339"/>
        <v>535403.08924815664</v>
      </c>
      <c r="BH89" s="164">
        <f t="shared" si="339"/>
        <v>588964.30418973335</v>
      </c>
      <c r="BI89" s="164">
        <f t="shared" si="339"/>
        <v>615483.58645100961</v>
      </c>
      <c r="BJ89" s="164">
        <f t="shared" si="339"/>
        <v>677051.80581203348</v>
      </c>
      <c r="BK89" s="164">
        <f t="shared" si="339"/>
        <v>744776.8471091598</v>
      </c>
      <c r="BL89" s="164">
        <f t="shared" si="339"/>
        <v>778291.80522907199</v>
      </c>
      <c r="BM89" s="164">
        <f t="shared" si="339"/>
        <v>856139.85343210597</v>
      </c>
      <c r="BN89" s="164">
        <f t="shared" si="339"/>
        <v>941761.38584736723</v>
      </c>
    </row>
    <row r="90" spans="2:66" ht="14.4" customHeight="1" x14ac:dyDescent="0.3"/>
    <row r="91" spans="2:66" ht="14.4" customHeight="1" x14ac:dyDescent="0.3">
      <c r="C91" t="str">
        <f>C19</f>
        <v>New Annual Subscribers</v>
      </c>
      <c r="G91" s="27">
        <f>G19</f>
        <v>55</v>
      </c>
      <c r="H91" s="27">
        <f>H19</f>
        <v>59</v>
      </c>
      <c r="I91" s="27">
        <f t="shared" ref="I91:L91" si="340">I19</f>
        <v>63</v>
      </c>
      <c r="J91" s="27">
        <f t="shared" si="340"/>
        <v>67</v>
      </c>
      <c r="K91" s="27">
        <f t="shared" si="340"/>
        <v>72</v>
      </c>
      <c r="L91" s="27">
        <f t="shared" si="340"/>
        <v>77</v>
      </c>
      <c r="M91" s="27">
        <f t="shared" ref="M91:BN91" si="341">M19</f>
        <v>82</v>
      </c>
      <c r="N91" s="27">
        <f t="shared" si="341"/>
        <v>88</v>
      </c>
      <c r="O91" s="27">
        <f t="shared" si="341"/>
        <v>94</v>
      </c>
      <c r="P91" s="27">
        <f t="shared" si="341"/>
        <v>101</v>
      </c>
      <c r="Q91" s="27">
        <f t="shared" si="341"/>
        <v>108</v>
      </c>
      <c r="R91" s="27">
        <f t="shared" si="341"/>
        <v>116</v>
      </c>
      <c r="S91" s="27">
        <f t="shared" si="341"/>
        <v>124</v>
      </c>
      <c r="T91" s="27">
        <f t="shared" si="341"/>
        <v>133</v>
      </c>
      <c r="U91" s="27">
        <f t="shared" si="341"/>
        <v>142</v>
      </c>
      <c r="V91" s="27">
        <f t="shared" si="341"/>
        <v>152</v>
      </c>
      <c r="W91" s="27">
        <f t="shared" si="341"/>
        <v>163</v>
      </c>
      <c r="X91" s="27">
        <f t="shared" si="341"/>
        <v>174</v>
      </c>
      <c r="Y91" s="27">
        <f t="shared" si="341"/>
        <v>186</v>
      </c>
      <c r="Z91" s="27">
        <f t="shared" si="341"/>
        <v>199</v>
      </c>
      <c r="AA91" s="27">
        <f t="shared" si="341"/>
        <v>213</v>
      </c>
      <c r="AB91" s="27">
        <f t="shared" si="341"/>
        <v>228</v>
      </c>
      <c r="AC91" s="27">
        <f t="shared" si="341"/>
        <v>244</v>
      </c>
      <c r="AD91" s="27">
        <f t="shared" si="341"/>
        <v>261</v>
      </c>
      <c r="AE91" s="27">
        <f t="shared" si="341"/>
        <v>279</v>
      </c>
      <c r="AF91" s="27">
        <f t="shared" si="341"/>
        <v>299</v>
      </c>
      <c r="AG91" s="27">
        <f t="shared" si="341"/>
        <v>320</v>
      </c>
      <c r="AH91" s="27">
        <f t="shared" si="341"/>
        <v>342</v>
      </c>
      <c r="AI91" s="27">
        <f t="shared" si="341"/>
        <v>366</v>
      </c>
      <c r="AJ91" s="27">
        <f t="shared" si="341"/>
        <v>392</v>
      </c>
      <c r="AK91" s="27">
        <f t="shared" si="341"/>
        <v>419</v>
      </c>
      <c r="AL91" s="27">
        <f t="shared" si="341"/>
        <v>448</v>
      </c>
      <c r="AM91" s="27">
        <f t="shared" si="341"/>
        <v>479</v>
      </c>
      <c r="AN91" s="27">
        <f t="shared" si="341"/>
        <v>513</v>
      </c>
      <c r="AO91" s="27">
        <f t="shared" si="341"/>
        <v>549</v>
      </c>
      <c r="AP91" s="27">
        <f t="shared" si="341"/>
        <v>587</v>
      </c>
      <c r="AQ91" s="27">
        <f t="shared" si="341"/>
        <v>628</v>
      </c>
      <c r="AR91" s="27">
        <f t="shared" si="341"/>
        <v>672</v>
      </c>
      <c r="AS91" s="27">
        <f t="shared" si="341"/>
        <v>719</v>
      </c>
      <c r="AT91" s="27">
        <f t="shared" si="341"/>
        <v>769</v>
      </c>
      <c r="AU91" s="27">
        <f t="shared" si="341"/>
        <v>823</v>
      </c>
      <c r="AV91" s="27">
        <f t="shared" si="341"/>
        <v>881</v>
      </c>
      <c r="AW91" s="27">
        <f t="shared" si="341"/>
        <v>943</v>
      </c>
      <c r="AX91" s="27">
        <f t="shared" si="341"/>
        <v>1009</v>
      </c>
      <c r="AY91" s="27">
        <f t="shared" si="341"/>
        <v>1080</v>
      </c>
      <c r="AZ91" s="27">
        <f t="shared" si="341"/>
        <v>1156</v>
      </c>
      <c r="BA91" s="27">
        <f t="shared" si="341"/>
        <v>1237</v>
      </c>
      <c r="BB91" s="27">
        <f t="shared" si="341"/>
        <v>1324</v>
      </c>
      <c r="BC91" s="27">
        <f t="shared" si="341"/>
        <v>1417</v>
      </c>
      <c r="BD91" s="27">
        <f t="shared" si="341"/>
        <v>1516</v>
      </c>
      <c r="BE91" s="27">
        <f t="shared" si="341"/>
        <v>1622</v>
      </c>
      <c r="BF91" s="27">
        <f t="shared" si="341"/>
        <v>1736</v>
      </c>
      <c r="BG91" s="27">
        <f t="shared" si="341"/>
        <v>1858</v>
      </c>
      <c r="BH91" s="27">
        <f t="shared" si="341"/>
        <v>1988</v>
      </c>
      <c r="BI91" s="27">
        <f t="shared" si="341"/>
        <v>2127</v>
      </c>
      <c r="BJ91" s="27">
        <f t="shared" si="341"/>
        <v>2276</v>
      </c>
      <c r="BK91" s="27">
        <f t="shared" si="341"/>
        <v>2435</v>
      </c>
      <c r="BL91" s="27">
        <f t="shared" si="341"/>
        <v>2605</v>
      </c>
      <c r="BM91" s="27">
        <f t="shared" si="341"/>
        <v>2787</v>
      </c>
      <c r="BN91" s="27">
        <f t="shared" si="341"/>
        <v>2982</v>
      </c>
    </row>
    <row r="92" spans="2:66" ht="14.4" customHeight="1" x14ac:dyDescent="0.3">
      <c r="C92" t="s">
        <v>210</v>
      </c>
      <c r="E92" s="72">
        <f>Assumptions!E44</f>
        <v>200</v>
      </c>
      <c r="F92" s="68">
        <f>Assumptions!E47</f>
        <v>0.03</v>
      </c>
      <c r="G92" s="17">
        <f>$E92</f>
        <v>200</v>
      </c>
      <c r="H92" s="17">
        <f>G92-G92*IF(MOD(MONTH(H$6)-1,3)=0,1,0)*$F92</f>
        <v>200</v>
      </c>
      <c r="I92" s="17">
        <f t="shared" ref="I92:L92" si="342">H92-H92*IF(MOD(MONTH(I$6)-1,3)=0,1,0)*$F92</f>
        <v>200</v>
      </c>
      <c r="J92" s="17">
        <f t="shared" si="342"/>
        <v>194</v>
      </c>
      <c r="K92" s="17">
        <f t="shared" si="342"/>
        <v>194</v>
      </c>
      <c r="L92" s="17">
        <f t="shared" si="342"/>
        <v>194</v>
      </c>
      <c r="M92" s="17">
        <f t="shared" ref="M92:BN92" si="343">L92-L92*IF(MOD(MONTH(M$6)-1,3)=0,1,0)*$F92</f>
        <v>188.18</v>
      </c>
      <c r="N92" s="17">
        <f t="shared" si="343"/>
        <v>188.18</v>
      </c>
      <c r="O92" s="17">
        <f t="shared" si="343"/>
        <v>188.18</v>
      </c>
      <c r="P92" s="17">
        <f t="shared" si="343"/>
        <v>182.53460000000001</v>
      </c>
      <c r="Q92" s="17">
        <f t="shared" si="343"/>
        <v>182.53460000000001</v>
      </c>
      <c r="R92" s="17">
        <f t="shared" si="343"/>
        <v>182.53460000000001</v>
      </c>
      <c r="S92" s="17">
        <f t="shared" si="343"/>
        <v>177.05856200000002</v>
      </c>
      <c r="T92" s="17">
        <f t="shared" si="343"/>
        <v>177.05856200000002</v>
      </c>
      <c r="U92" s="17">
        <f t="shared" si="343"/>
        <v>177.05856200000002</v>
      </c>
      <c r="V92" s="17">
        <f t="shared" si="343"/>
        <v>171.74680514000002</v>
      </c>
      <c r="W92" s="17">
        <f t="shared" si="343"/>
        <v>171.74680514000002</v>
      </c>
      <c r="X92" s="17">
        <f t="shared" si="343"/>
        <v>171.74680514000002</v>
      </c>
      <c r="Y92" s="17">
        <f t="shared" si="343"/>
        <v>166.59440098580001</v>
      </c>
      <c r="Z92" s="17">
        <f t="shared" si="343"/>
        <v>166.59440098580001</v>
      </c>
      <c r="AA92" s="17">
        <f t="shared" si="343"/>
        <v>166.59440098580001</v>
      </c>
      <c r="AB92" s="17">
        <f t="shared" si="343"/>
        <v>161.59656895622601</v>
      </c>
      <c r="AC92" s="17">
        <f t="shared" si="343"/>
        <v>161.59656895622601</v>
      </c>
      <c r="AD92" s="17">
        <f t="shared" si="343"/>
        <v>161.59656895622601</v>
      </c>
      <c r="AE92" s="17">
        <f t="shared" si="343"/>
        <v>156.74867188753922</v>
      </c>
      <c r="AF92" s="17">
        <f t="shared" si="343"/>
        <v>156.74867188753922</v>
      </c>
      <c r="AG92" s="17">
        <f t="shared" si="343"/>
        <v>156.74867188753922</v>
      </c>
      <c r="AH92" s="17">
        <f t="shared" si="343"/>
        <v>152.04621173091303</v>
      </c>
      <c r="AI92" s="17">
        <f t="shared" si="343"/>
        <v>152.04621173091303</v>
      </c>
      <c r="AJ92" s="17">
        <f t="shared" si="343"/>
        <v>152.04621173091303</v>
      </c>
      <c r="AK92" s="17">
        <f t="shared" si="343"/>
        <v>147.48482537898565</v>
      </c>
      <c r="AL92" s="17">
        <f t="shared" si="343"/>
        <v>147.48482537898565</v>
      </c>
      <c r="AM92" s="17">
        <f t="shared" si="343"/>
        <v>147.48482537898565</v>
      </c>
      <c r="AN92" s="17">
        <f t="shared" si="343"/>
        <v>143.06028061761609</v>
      </c>
      <c r="AO92" s="17">
        <f t="shared" si="343"/>
        <v>143.06028061761609</v>
      </c>
      <c r="AP92" s="17">
        <f t="shared" si="343"/>
        <v>143.06028061761609</v>
      </c>
      <c r="AQ92" s="17">
        <f t="shared" si="343"/>
        <v>138.7684721990876</v>
      </c>
      <c r="AR92" s="17">
        <f t="shared" si="343"/>
        <v>138.7684721990876</v>
      </c>
      <c r="AS92" s="17">
        <f t="shared" si="343"/>
        <v>138.7684721990876</v>
      </c>
      <c r="AT92" s="17">
        <f t="shared" si="343"/>
        <v>134.60541803311497</v>
      </c>
      <c r="AU92" s="17">
        <f t="shared" si="343"/>
        <v>134.60541803311497</v>
      </c>
      <c r="AV92" s="17">
        <f t="shared" si="343"/>
        <v>134.60541803311497</v>
      </c>
      <c r="AW92" s="17">
        <f t="shared" si="343"/>
        <v>130.56725549212152</v>
      </c>
      <c r="AX92" s="17">
        <f t="shared" si="343"/>
        <v>130.56725549212152</v>
      </c>
      <c r="AY92" s="17">
        <f t="shared" si="343"/>
        <v>130.56725549212152</v>
      </c>
      <c r="AZ92" s="17">
        <f t="shared" si="343"/>
        <v>126.65023782735787</v>
      </c>
      <c r="BA92" s="17">
        <f t="shared" si="343"/>
        <v>126.65023782735787</v>
      </c>
      <c r="BB92" s="17">
        <f t="shared" si="343"/>
        <v>126.65023782735787</v>
      </c>
      <c r="BC92" s="17">
        <f t="shared" si="343"/>
        <v>122.85073069253713</v>
      </c>
      <c r="BD92" s="17">
        <f t="shared" si="343"/>
        <v>122.85073069253713</v>
      </c>
      <c r="BE92" s="17">
        <f t="shared" si="343"/>
        <v>122.85073069253713</v>
      </c>
      <c r="BF92" s="17">
        <f t="shared" si="343"/>
        <v>119.16520877176102</v>
      </c>
      <c r="BG92" s="17">
        <f t="shared" si="343"/>
        <v>119.16520877176102</v>
      </c>
      <c r="BH92" s="17">
        <f t="shared" si="343"/>
        <v>119.16520877176102</v>
      </c>
      <c r="BI92" s="17">
        <f t="shared" si="343"/>
        <v>115.59025250860819</v>
      </c>
      <c r="BJ92" s="17">
        <f t="shared" si="343"/>
        <v>115.59025250860819</v>
      </c>
      <c r="BK92" s="17">
        <f t="shared" si="343"/>
        <v>115.59025250860819</v>
      </c>
      <c r="BL92" s="17">
        <f t="shared" si="343"/>
        <v>112.12254493334994</v>
      </c>
      <c r="BM92" s="17">
        <f t="shared" si="343"/>
        <v>112.12254493334994</v>
      </c>
      <c r="BN92" s="17">
        <f t="shared" si="343"/>
        <v>112.12254493334994</v>
      </c>
    </row>
    <row r="93" spans="2:66" ht="14.4" customHeight="1" x14ac:dyDescent="0.3">
      <c r="C93" s="11" t="s">
        <v>213</v>
      </c>
      <c r="D93" s="11"/>
      <c r="E93" s="11"/>
      <c r="F93" s="11"/>
      <c r="G93" s="164">
        <f>G91*G92</f>
        <v>11000</v>
      </c>
      <c r="H93" s="164">
        <f t="shared" ref="H93" si="344">H91*H92</f>
        <v>11800</v>
      </c>
      <c r="I93" s="164">
        <f t="shared" ref="I93" si="345">I91*I92</f>
        <v>12600</v>
      </c>
      <c r="J93" s="164">
        <f t="shared" ref="J93" si="346">J91*J92</f>
        <v>12998</v>
      </c>
      <c r="K93" s="164">
        <f t="shared" ref="K93" si="347">K91*K92</f>
        <v>13968</v>
      </c>
      <c r="L93" s="164">
        <f t="shared" ref="L93" si="348">L91*L92</f>
        <v>14938</v>
      </c>
      <c r="M93" s="164">
        <f t="shared" ref="M93" si="349">M91*M92</f>
        <v>15430.76</v>
      </c>
      <c r="N93" s="164">
        <f t="shared" ref="N93" si="350">N91*N92</f>
        <v>16559.84</v>
      </c>
      <c r="O93" s="164">
        <f t="shared" ref="O93" si="351">O91*O92</f>
        <v>17688.920000000002</v>
      </c>
      <c r="P93" s="164">
        <f t="shared" ref="P93" si="352">P91*P92</f>
        <v>18435.994600000002</v>
      </c>
      <c r="Q93" s="164">
        <f t="shared" ref="Q93" si="353">Q91*Q92</f>
        <v>19713.736800000002</v>
      </c>
      <c r="R93" s="164">
        <f t="shared" ref="R93" si="354">R91*R92</f>
        <v>21174.013600000002</v>
      </c>
      <c r="S93" s="164">
        <f t="shared" ref="S93" si="355">S91*S92</f>
        <v>21955.261688000002</v>
      </c>
      <c r="T93" s="164">
        <f t="shared" ref="T93" si="356">T91*T92</f>
        <v>23548.788746000002</v>
      </c>
      <c r="U93" s="164">
        <f t="shared" ref="U93" si="357">U91*U92</f>
        <v>25142.315804000002</v>
      </c>
      <c r="V93" s="164">
        <f t="shared" ref="V93" si="358">V91*V92</f>
        <v>26105.514381280002</v>
      </c>
      <c r="W93" s="164">
        <f t="shared" ref="W93" si="359">W91*W92</f>
        <v>27994.729237820004</v>
      </c>
      <c r="X93" s="164">
        <f t="shared" ref="X93" si="360">X91*X92</f>
        <v>29883.944094360002</v>
      </c>
      <c r="Y93" s="164">
        <f t="shared" ref="Y93" si="361">Y91*Y92</f>
        <v>30986.558583358801</v>
      </c>
      <c r="Z93" s="164">
        <f t="shared" ref="Z93" si="362">Z91*Z92</f>
        <v>33152.285796174205</v>
      </c>
      <c r="AA93" s="164">
        <f t="shared" ref="AA93" si="363">AA91*AA92</f>
        <v>35484.607409975404</v>
      </c>
      <c r="AB93" s="164">
        <f t="shared" ref="AB93" si="364">AB91*AB92</f>
        <v>36844.017722019533</v>
      </c>
      <c r="AC93" s="164">
        <f t="shared" ref="AC93" si="365">AC91*AC92</f>
        <v>39429.562825319146</v>
      </c>
      <c r="AD93" s="164">
        <f t="shared" ref="AD93" si="366">AD91*AD92</f>
        <v>42176.704497574989</v>
      </c>
      <c r="AE93" s="164">
        <f t="shared" ref="AE93" si="367">AE91*AE92</f>
        <v>43732.879456623443</v>
      </c>
      <c r="AF93" s="164">
        <f t="shared" ref="AF93" si="368">AF91*AF92</f>
        <v>46867.852894374228</v>
      </c>
      <c r="AG93" s="164">
        <f t="shared" ref="AG93" si="369">AG91*AG92</f>
        <v>50159.575004012549</v>
      </c>
      <c r="AH93" s="164">
        <f t="shared" ref="AH93" si="370">AH91*AH92</f>
        <v>51999.804411972254</v>
      </c>
      <c r="AI93" s="164">
        <f t="shared" ref="AI93" si="371">AI91*AI92</f>
        <v>55648.91349351417</v>
      </c>
      <c r="AJ93" s="164">
        <f t="shared" ref="AJ93" si="372">AJ91*AJ92</f>
        <v>59602.114998517907</v>
      </c>
      <c r="AK93" s="164">
        <f t="shared" ref="AK93" si="373">AK91*AK92</f>
        <v>61796.141833794987</v>
      </c>
      <c r="AL93" s="164">
        <f t="shared" ref="AL93" si="374">AL91*AL92</f>
        <v>66073.201769785577</v>
      </c>
      <c r="AM93" s="164">
        <f t="shared" ref="AM93" si="375">AM91*AM92</f>
        <v>70645.231356534132</v>
      </c>
      <c r="AN93" s="164">
        <f t="shared" ref="AN93" si="376">AN91*AN92</f>
        <v>73389.923956837054</v>
      </c>
      <c r="AO93" s="164">
        <f t="shared" ref="AO93" si="377">AO91*AO92</f>
        <v>78540.094059071227</v>
      </c>
      <c r="AP93" s="164">
        <f t="shared" ref="AP93" si="378">AP91*AP92</f>
        <v>83976.38472254065</v>
      </c>
      <c r="AQ93" s="164">
        <f t="shared" ref="AQ93" si="379">AQ91*AQ92</f>
        <v>87146.600541027015</v>
      </c>
      <c r="AR93" s="164">
        <f t="shared" ref="AR93" si="380">AR91*AR92</f>
        <v>93252.413317786864</v>
      </c>
      <c r="AS93" s="164">
        <f t="shared" ref="AS93" si="381">AS91*AS92</f>
        <v>99774.531511143985</v>
      </c>
      <c r="AT93" s="164">
        <f t="shared" ref="AT93" si="382">AT91*AT92</f>
        <v>103511.56646746541</v>
      </c>
      <c r="AU93" s="164">
        <f t="shared" ref="AU93" si="383">AU91*AU92</f>
        <v>110780.25904125362</v>
      </c>
      <c r="AV93" s="164">
        <f t="shared" ref="AV93" si="384">AV91*AV92</f>
        <v>118587.3732871743</v>
      </c>
      <c r="AW93" s="164">
        <f t="shared" ref="AW93" si="385">AW91*AW92</f>
        <v>123124.9219290706</v>
      </c>
      <c r="AX93" s="164">
        <f t="shared" ref="AX93" si="386">AX91*AX92</f>
        <v>131742.3607915506</v>
      </c>
      <c r="AY93" s="164">
        <f t="shared" ref="AY93" si="387">AY91*AY92</f>
        <v>141012.63593149124</v>
      </c>
      <c r="AZ93" s="164">
        <f t="shared" ref="AZ93" si="388">AZ91*AZ92</f>
        <v>146407.67492842569</v>
      </c>
      <c r="BA93" s="164">
        <f t="shared" ref="BA93" si="389">BA91*BA92</f>
        <v>156666.3441924417</v>
      </c>
      <c r="BB93" s="164">
        <f t="shared" ref="BB93" si="390">BB91*BB92</f>
        <v>167684.91488342182</v>
      </c>
      <c r="BC93" s="164">
        <f t="shared" ref="BC93" si="391">BC91*BC92</f>
        <v>174079.48539132511</v>
      </c>
      <c r="BD93" s="164">
        <f t="shared" ref="BD93" si="392">BD91*BD92</f>
        <v>186241.70772988629</v>
      </c>
      <c r="BE93" s="164">
        <f t="shared" ref="BE93" si="393">BE91*BE92</f>
        <v>199263.88518329521</v>
      </c>
      <c r="BF93" s="164">
        <f t="shared" ref="BF93" si="394">BF91*BF92</f>
        <v>206870.80242777712</v>
      </c>
      <c r="BG93" s="164">
        <f t="shared" ref="BG93" si="395">BG91*BG92</f>
        <v>221408.95789793198</v>
      </c>
      <c r="BH93" s="164">
        <f t="shared" ref="BH93" si="396">BH91*BH92</f>
        <v>236900.43503826091</v>
      </c>
      <c r="BI93" s="164">
        <f t="shared" ref="BI93" si="397">BI91*BI92</f>
        <v>245860.46708580962</v>
      </c>
      <c r="BJ93" s="164">
        <f t="shared" ref="BJ93" si="398">BJ91*BJ92</f>
        <v>263083.41470959224</v>
      </c>
      <c r="BK93" s="164">
        <f t="shared" ref="BK93" si="399">BK91*BK92</f>
        <v>281462.26485846093</v>
      </c>
      <c r="BL93" s="164">
        <f t="shared" ref="BL93" si="400">BL91*BL92</f>
        <v>292079.2295513766</v>
      </c>
      <c r="BM93" s="164">
        <f t="shared" ref="BM93" si="401">BM91*BM92</f>
        <v>312485.5327292463</v>
      </c>
      <c r="BN93" s="164">
        <f t="shared" ref="BN93" si="402">BN91*BN92</f>
        <v>334349.42899124953</v>
      </c>
    </row>
    <row r="94" spans="2:66" ht="3" customHeight="1" x14ac:dyDescent="0.3"/>
    <row r="95" spans="2:66" ht="14.4" customHeight="1" x14ac:dyDescent="0.3">
      <c r="C95" s="44" t="s">
        <v>77</v>
      </c>
      <c r="D95" s="44"/>
      <c r="E95" s="165"/>
      <c r="F95" s="44"/>
      <c r="G95" s="55">
        <f>G93+G89</f>
        <v>20000</v>
      </c>
      <c r="H95" s="55">
        <f t="shared" ref="H95:BN95" si="403">H93+H89</f>
        <v>21700</v>
      </c>
      <c r="I95" s="55">
        <f t="shared" si="403"/>
        <v>23500</v>
      </c>
      <c r="J95" s="55">
        <f t="shared" si="403"/>
        <v>24398</v>
      </c>
      <c r="K95" s="55">
        <f t="shared" si="403"/>
        <v>26508</v>
      </c>
      <c r="L95" s="55">
        <f t="shared" si="403"/>
        <v>28713</v>
      </c>
      <c r="M95" s="55">
        <f t="shared" si="403"/>
        <v>29870.760000000002</v>
      </c>
      <c r="N95" s="55">
        <f t="shared" si="403"/>
        <v>32443.84</v>
      </c>
      <c r="O95" s="55">
        <f t="shared" si="403"/>
        <v>35197.42</v>
      </c>
      <c r="P95" s="55">
        <f t="shared" si="403"/>
        <v>36698.0821</v>
      </c>
      <c r="Q95" s="55">
        <f t="shared" si="403"/>
        <v>39776.311800000003</v>
      </c>
      <c r="R95" s="55">
        <f t="shared" si="403"/>
        <v>43208.551099999997</v>
      </c>
      <c r="S95" s="55">
        <f t="shared" si="403"/>
        <v>45005.788563000002</v>
      </c>
      <c r="T95" s="55">
        <f t="shared" si="403"/>
        <v>48879.933121000002</v>
      </c>
      <c r="U95" s="55">
        <f t="shared" si="403"/>
        <v>52998.429554000002</v>
      </c>
      <c r="V95" s="55">
        <f t="shared" si="403"/>
        <v>55199.677631280007</v>
      </c>
      <c r="W95" s="55">
        <f t="shared" si="403"/>
        <v>60029.260050320008</v>
      </c>
      <c r="X95" s="55">
        <f t="shared" si="403"/>
        <v>65090.976750610003</v>
      </c>
      <c r="Y95" s="55">
        <f t="shared" si="403"/>
        <v>67814.662303671299</v>
      </c>
      <c r="Z95" s="55">
        <f t="shared" si="403"/>
        <v>73655.848969611703</v>
      </c>
      <c r="AA95" s="55">
        <f t="shared" si="403"/>
        <v>80031.175981850407</v>
      </c>
      <c r="AB95" s="55">
        <f t="shared" si="403"/>
        <v>83423.115371472653</v>
      </c>
      <c r="AC95" s="55">
        <f t="shared" si="403"/>
        <v>90687.520358600392</v>
      </c>
      <c r="AD95" s="55">
        <f t="shared" si="403"/>
        <v>98532.524292340619</v>
      </c>
      <c r="AE95" s="55">
        <f t="shared" si="403"/>
        <v>102644.6137550922</v>
      </c>
      <c r="AF95" s="55">
        <f t="shared" si="403"/>
        <v>111684.02903131564</v>
      </c>
      <c r="AG95" s="55">
        <f t="shared" si="403"/>
        <v>121477.27136758677</v>
      </c>
      <c r="AH95" s="55">
        <f t="shared" si="403"/>
        <v>126558.30958239356</v>
      </c>
      <c r="AI95" s="55">
        <f t="shared" si="403"/>
        <v>137644.36169868585</v>
      </c>
      <c r="AJ95" s="55">
        <f t="shared" si="403"/>
        <v>149790.8055301095</v>
      </c>
      <c r="AK95" s="55">
        <f t="shared" si="403"/>
        <v>156037.33606991582</v>
      </c>
      <c r="AL95" s="55">
        <f t="shared" si="403"/>
        <v>169714.56595194899</v>
      </c>
      <c r="AM95" s="55">
        <f t="shared" si="403"/>
        <v>184644.74458752148</v>
      </c>
      <c r="AN95" s="55">
        <f t="shared" si="403"/>
        <v>192496.66327952777</v>
      </c>
      <c r="AO95" s="55">
        <f t="shared" si="403"/>
        <v>209534.75531033997</v>
      </c>
      <c r="AP95" s="55">
        <f t="shared" si="403"/>
        <v>228053.44809616797</v>
      </c>
      <c r="AQ95" s="55">
        <f t="shared" si="403"/>
        <v>237690.92096383771</v>
      </c>
      <c r="AR95" s="55">
        <f t="shared" si="403"/>
        <v>258872.78018638509</v>
      </c>
      <c r="AS95" s="55">
        <f t="shared" si="403"/>
        <v>281983.95307098515</v>
      </c>
      <c r="AT95" s="55">
        <f t="shared" si="403"/>
        <v>293910.14515583386</v>
      </c>
      <c r="AU95" s="55">
        <f t="shared" si="403"/>
        <v>320223.82901929168</v>
      </c>
      <c r="AV95" s="55">
        <f t="shared" si="403"/>
        <v>348975.30026301619</v>
      </c>
      <c r="AW95" s="55">
        <f t="shared" si="403"/>
        <v>363890.05911840766</v>
      </c>
      <c r="AX95" s="55">
        <f t="shared" si="403"/>
        <v>396598.64194919489</v>
      </c>
      <c r="AY95" s="55">
        <f t="shared" si="403"/>
        <v>432349.66845510877</v>
      </c>
      <c r="AZ95" s="55">
        <f t="shared" si="403"/>
        <v>450836.34226639959</v>
      </c>
      <c r="BA95" s="55">
        <f t="shared" si="403"/>
        <v>491533.24535191141</v>
      </c>
      <c r="BB95" s="55">
        <f t="shared" si="403"/>
        <v>536047.77198344166</v>
      </c>
      <c r="BC95" s="55">
        <f t="shared" si="403"/>
        <v>559014.26979415934</v>
      </c>
      <c r="BD95" s="55">
        <f t="shared" si="403"/>
        <v>609687.57563975011</v>
      </c>
      <c r="BE95" s="55">
        <f t="shared" si="403"/>
        <v>665049.9386174588</v>
      </c>
      <c r="BF95" s="55">
        <f t="shared" si="403"/>
        <v>693604.68465642154</v>
      </c>
      <c r="BG95" s="55">
        <f t="shared" si="403"/>
        <v>756812.04714608868</v>
      </c>
      <c r="BH95" s="55">
        <f t="shared" si="403"/>
        <v>825864.73922799423</v>
      </c>
      <c r="BI95" s="55">
        <f t="shared" si="403"/>
        <v>861344.05353681929</v>
      </c>
      <c r="BJ95" s="55">
        <f t="shared" si="403"/>
        <v>940135.22052162571</v>
      </c>
      <c r="BK95" s="55">
        <f t="shared" si="403"/>
        <v>1026239.1119676207</v>
      </c>
      <c r="BL95" s="55">
        <f t="shared" si="403"/>
        <v>1070371.0347804485</v>
      </c>
      <c r="BM95" s="55">
        <f t="shared" si="403"/>
        <v>1168625.3861613523</v>
      </c>
      <c r="BN95" s="55">
        <f t="shared" si="403"/>
        <v>1276110.8148386166</v>
      </c>
    </row>
    <row r="96" spans="2:66" x14ac:dyDescent="0.3">
      <c r="C96" s="25"/>
      <c r="E96" s="68"/>
    </row>
    <row r="97" spans="2:66" x14ac:dyDescent="0.3">
      <c r="B97" s="22" t="s">
        <v>0</v>
      </c>
      <c r="C97" s="23" t="s">
        <v>81</v>
      </c>
      <c r="E97" s="63" t="s">
        <v>15</v>
      </c>
    </row>
    <row r="98" spans="2:66" ht="3" customHeight="1" x14ac:dyDescent="0.3"/>
    <row r="99" spans="2:66" ht="14.4" customHeight="1" x14ac:dyDescent="0.3">
      <c r="C99" t="s">
        <v>91</v>
      </c>
      <c r="E99" s="67">
        <f>Assumptions!E52</f>
        <v>20</v>
      </c>
      <c r="G99" s="27">
        <f t="shared" ref="G99:AL99" si="404">IF(G$78&lt;=$E99, 1, 2)</f>
        <v>1</v>
      </c>
      <c r="H99" s="27">
        <f t="shared" si="404"/>
        <v>1</v>
      </c>
      <c r="I99" s="27">
        <f t="shared" si="404"/>
        <v>1</v>
      </c>
      <c r="J99" s="27">
        <f t="shared" si="404"/>
        <v>1</v>
      </c>
      <c r="K99" s="27">
        <f t="shared" si="404"/>
        <v>1</v>
      </c>
      <c r="L99" s="27">
        <f t="shared" si="404"/>
        <v>1</v>
      </c>
      <c r="M99" s="27">
        <f t="shared" si="404"/>
        <v>1</v>
      </c>
      <c r="N99" s="27">
        <f t="shared" si="404"/>
        <v>1</v>
      </c>
      <c r="O99" s="27">
        <f t="shared" si="404"/>
        <v>1</v>
      </c>
      <c r="P99" s="27">
        <f t="shared" si="404"/>
        <v>1</v>
      </c>
      <c r="Q99" s="27">
        <f t="shared" si="404"/>
        <v>1</v>
      </c>
      <c r="R99" s="27">
        <f t="shared" si="404"/>
        <v>1</v>
      </c>
      <c r="S99" s="27">
        <f t="shared" si="404"/>
        <v>1</v>
      </c>
      <c r="T99" s="27">
        <f t="shared" si="404"/>
        <v>1</v>
      </c>
      <c r="U99" s="27">
        <f t="shared" si="404"/>
        <v>1</v>
      </c>
      <c r="V99" s="27">
        <f t="shared" si="404"/>
        <v>1</v>
      </c>
      <c r="W99" s="27">
        <f t="shared" si="404"/>
        <v>1</v>
      </c>
      <c r="X99" s="27">
        <f t="shared" si="404"/>
        <v>1</v>
      </c>
      <c r="Y99" s="27">
        <f t="shared" si="404"/>
        <v>1</v>
      </c>
      <c r="Z99" s="27">
        <f t="shared" si="404"/>
        <v>1</v>
      </c>
      <c r="AA99" s="27">
        <f t="shared" si="404"/>
        <v>1</v>
      </c>
      <c r="AB99" s="27">
        <f t="shared" si="404"/>
        <v>1</v>
      </c>
      <c r="AC99" s="27">
        <f t="shared" si="404"/>
        <v>1</v>
      </c>
      <c r="AD99" s="27">
        <f t="shared" si="404"/>
        <v>2</v>
      </c>
      <c r="AE99" s="27">
        <f t="shared" si="404"/>
        <v>2</v>
      </c>
      <c r="AF99" s="27">
        <f t="shared" si="404"/>
        <v>2</v>
      </c>
      <c r="AG99" s="27">
        <f t="shared" si="404"/>
        <v>2</v>
      </c>
      <c r="AH99" s="27">
        <f t="shared" si="404"/>
        <v>2</v>
      </c>
      <c r="AI99" s="27">
        <f t="shared" si="404"/>
        <v>2</v>
      </c>
      <c r="AJ99" s="27">
        <f t="shared" si="404"/>
        <v>2</v>
      </c>
      <c r="AK99" s="27">
        <f t="shared" si="404"/>
        <v>2</v>
      </c>
      <c r="AL99" s="27">
        <f t="shared" si="404"/>
        <v>2</v>
      </c>
      <c r="AM99" s="27">
        <f t="shared" ref="AM99:BN99" si="405">IF(AM$78&lt;=$E99, 1, 2)</f>
        <v>2</v>
      </c>
      <c r="AN99" s="27">
        <f t="shared" si="405"/>
        <v>2</v>
      </c>
      <c r="AO99" s="27">
        <f t="shared" si="405"/>
        <v>2</v>
      </c>
      <c r="AP99" s="27">
        <f t="shared" si="405"/>
        <v>2</v>
      </c>
      <c r="AQ99" s="27">
        <f t="shared" si="405"/>
        <v>2</v>
      </c>
      <c r="AR99" s="27">
        <f t="shared" si="405"/>
        <v>2</v>
      </c>
      <c r="AS99" s="27">
        <f t="shared" si="405"/>
        <v>2</v>
      </c>
      <c r="AT99" s="27">
        <f t="shared" si="405"/>
        <v>2</v>
      </c>
      <c r="AU99" s="27">
        <f t="shared" si="405"/>
        <v>2</v>
      </c>
      <c r="AV99" s="27">
        <f t="shared" si="405"/>
        <v>2</v>
      </c>
      <c r="AW99" s="27">
        <f t="shared" si="405"/>
        <v>2</v>
      </c>
      <c r="AX99" s="27">
        <f t="shared" si="405"/>
        <v>2</v>
      </c>
      <c r="AY99" s="27">
        <f t="shared" si="405"/>
        <v>2</v>
      </c>
      <c r="AZ99" s="27">
        <f t="shared" si="405"/>
        <v>2</v>
      </c>
      <c r="BA99" s="27">
        <f t="shared" si="405"/>
        <v>2</v>
      </c>
      <c r="BB99" s="27">
        <f t="shared" si="405"/>
        <v>2</v>
      </c>
      <c r="BC99" s="27">
        <f t="shared" si="405"/>
        <v>2</v>
      </c>
      <c r="BD99" s="27">
        <f t="shared" si="405"/>
        <v>2</v>
      </c>
      <c r="BE99" s="27">
        <f t="shared" si="405"/>
        <v>2</v>
      </c>
      <c r="BF99" s="27">
        <f t="shared" si="405"/>
        <v>2</v>
      </c>
      <c r="BG99" s="27">
        <f t="shared" si="405"/>
        <v>2</v>
      </c>
      <c r="BH99" s="27">
        <f t="shared" si="405"/>
        <v>2</v>
      </c>
      <c r="BI99" s="27">
        <f t="shared" si="405"/>
        <v>2</v>
      </c>
      <c r="BJ99" s="27">
        <f t="shared" si="405"/>
        <v>2</v>
      </c>
      <c r="BK99" s="27">
        <f t="shared" si="405"/>
        <v>2</v>
      </c>
      <c r="BL99" s="27">
        <f t="shared" si="405"/>
        <v>2</v>
      </c>
      <c r="BM99" s="27">
        <f t="shared" si="405"/>
        <v>2</v>
      </c>
      <c r="BN99" s="27">
        <f t="shared" si="405"/>
        <v>2</v>
      </c>
    </row>
    <row r="100" spans="2:66" ht="14.4" customHeight="1" x14ac:dyDescent="0.3">
      <c r="C100" t="s">
        <v>90</v>
      </c>
      <c r="E100" s="65">
        <f>Assumptions!E51</f>
        <v>10000</v>
      </c>
      <c r="G100" s="34">
        <f t="shared" ref="G100:P101" si="406">G$99*$E100</f>
        <v>10000</v>
      </c>
      <c r="H100" s="34">
        <f t="shared" si="406"/>
        <v>10000</v>
      </c>
      <c r="I100" s="34">
        <f t="shared" si="406"/>
        <v>10000</v>
      </c>
      <c r="J100" s="34">
        <f t="shared" si="406"/>
        <v>10000</v>
      </c>
      <c r="K100" s="34">
        <f t="shared" si="406"/>
        <v>10000</v>
      </c>
      <c r="L100" s="34">
        <f t="shared" si="406"/>
        <v>10000</v>
      </c>
      <c r="M100" s="34">
        <f t="shared" si="406"/>
        <v>10000</v>
      </c>
      <c r="N100" s="34">
        <f t="shared" si="406"/>
        <v>10000</v>
      </c>
      <c r="O100" s="34">
        <f t="shared" si="406"/>
        <v>10000</v>
      </c>
      <c r="P100" s="34">
        <f t="shared" si="406"/>
        <v>10000</v>
      </c>
      <c r="Q100" s="34">
        <f t="shared" ref="Q100:AF100" si="407">Q$99*$E100</f>
        <v>10000</v>
      </c>
      <c r="R100" s="34">
        <f t="shared" si="407"/>
        <v>10000</v>
      </c>
      <c r="S100" s="34">
        <f t="shared" si="407"/>
        <v>10000</v>
      </c>
      <c r="T100" s="34">
        <f t="shared" si="407"/>
        <v>10000</v>
      </c>
      <c r="U100" s="34">
        <f t="shared" si="407"/>
        <v>10000</v>
      </c>
      <c r="V100" s="34">
        <f t="shared" si="407"/>
        <v>10000</v>
      </c>
      <c r="W100" s="34">
        <f t="shared" si="407"/>
        <v>10000</v>
      </c>
      <c r="X100" s="34">
        <f t="shared" si="407"/>
        <v>10000</v>
      </c>
      <c r="Y100" s="34">
        <f t="shared" si="407"/>
        <v>10000</v>
      </c>
      <c r="Z100" s="34">
        <f t="shared" si="407"/>
        <v>10000</v>
      </c>
      <c r="AA100" s="34">
        <f t="shared" si="407"/>
        <v>10000</v>
      </c>
      <c r="AB100" s="34">
        <f t="shared" si="407"/>
        <v>10000</v>
      </c>
      <c r="AC100" s="34">
        <f t="shared" si="407"/>
        <v>10000</v>
      </c>
      <c r="AD100" s="34">
        <f t="shared" si="407"/>
        <v>20000</v>
      </c>
      <c r="AE100" s="34">
        <f t="shared" si="407"/>
        <v>20000</v>
      </c>
      <c r="AF100" s="34">
        <f t="shared" si="407"/>
        <v>20000</v>
      </c>
      <c r="AG100" s="34">
        <f t="shared" ref="AE100:BN101" si="408">AG$99*$E100</f>
        <v>20000</v>
      </c>
      <c r="AH100" s="34">
        <f t="shared" si="408"/>
        <v>20000</v>
      </c>
      <c r="AI100" s="34">
        <f t="shared" si="408"/>
        <v>20000</v>
      </c>
      <c r="AJ100" s="34">
        <f t="shared" si="408"/>
        <v>20000</v>
      </c>
      <c r="AK100" s="34">
        <f t="shared" si="408"/>
        <v>20000</v>
      </c>
      <c r="AL100" s="34">
        <f t="shared" si="408"/>
        <v>20000</v>
      </c>
      <c r="AM100" s="34">
        <f t="shared" si="408"/>
        <v>20000</v>
      </c>
      <c r="AN100" s="34">
        <f t="shared" si="408"/>
        <v>20000</v>
      </c>
      <c r="AO100" s="34">
        <f t="shared" si="408"/>
        <v>20000</v>
      </c>
      <c r="AP100" s="34">
        <f t="shared" si="408"/>
        <v>20000</v>
      </c>
      <c r="AQ100" s="34">
        <f t="shared" si="408"/>
        <v>20000</v>
      </c>
      <c r="AR100" s="34">
        <f t="shared" si="408"/>
        <v>20000</v>
      </c>
      <c r="AS100" s="34">
        <f t="shared" si="408"/>
        <v>20000</v>
      </c>
      <c r="AT100" s="34">
        <f t="shared" si="408"/>
        <v>20000</v>
      </c>
      <c r="AU100" s="34">
        <f t="shared" si="408"/>
        <v>20000</v>
      </c>
      <c r="AV100" s="34">
        <f t="shared" si="408"/>
        <v>20000</v>
      </c>
      <c r="AW100" s="34">
        <f t="shared" si="408"/>
        <v>20000</v>
      </c>
      <c r="AX100" s="34">
        <f t="shared" si="408"/>
        <v>20000</v>
      </c>
      <c r="AY100" s="34">
        <f t="shared" si="408"/>
        <v>20000</v>
      </c>
      <c r="AZ100" s="34">
        <f t="shared" si="408"/>
        <v>20000</v>
      </c>
      <c r="BA100" s="34">
        <f t="shared" si="408"/>
        <v>20000</v>
      </c>
      <c r="BB100" s="34">
        <f t="shared" si="408"/>
        <v>20000</v>
      </c>
      <c r="BC100" s="34">
        <f t="shared" si="408"/>
        <v>20000</v>
      </c>
      <c r="BD100" s="34">
        <f t="shared" si="408"/>
        <v>20000</v>
      </c>
      <c r="BE100" s="34">
        <f t="shared" si="408"/>
        <v>20000</v>
      </c>
      <c r="BF100" s="34">
        <f t="shared" si="408"/>
        <v>20000</v>
      </c>
      <c r="BG100" s="34">
        <f t="shared" si="408"/>
        <v>20000</v>
      </c>
      <c r="BH100" s="34">
        <f t="shared" si="408"/>
        <v>20000</v>
      </c>
      <c r="BI100" s="34">
        <f t="shared" si="408"/>
        <v>20000</v>
      </c>
      <c r="BJ100" s="34">
        <f t="shared" si="408"/>
        <v>20000</v>
      </c>
      <c r="BK100" s="34">
        <f t="shared" si="408"/>
        <v>20000</v>
      </c>
      <c r="BL100" s="34">
        <f t="shared" si="408"/>
        <v>20000</v>
      </c>
      <c r="BM100" s="34">
        <f t="shared" si="408"/>
        <v>20000</v>
      </c>
      <c r="BN100" s="34">
        <f t="shared" si="408"/>
        <v>20000</v>
      </c>
    </row>
    <row r="101" spans="2:66" x14ac:dyDescent="0.3">
      <c r="C101" t="s">
        <v>92</v>
      </c>
      <c r="E101" s="65">
        <f>Assumptions!$E$53</f>
        <v>4000</v>
      </c>
      <c r="G101" s="30">
        <f t="shared" si="406"/>
        <v>4000</v>
      </c>
      <c r="H101" s="30">
        <f t="shared" si="406"/>
        <v>4000</v>
      </c>
      <c r="I101" s="30">
        <f t="shared" si="406"/>
        <v>4000</v>
      </c>
      <c r="J101" s="30">
        <f t="shared" si="406"/>
        <v>4000</v>
      </c>
      <c r="K101" s="30">
        <f t="shared" si="406"/>
        <v>4000</v>
      </c>
      <c r="L101" s="30">
        <f t="shared" si="406"/>
        <v>4000</v>
      </c>
      <c r="M101" s="30">
        <f t="shared" si="406"/>
        <v>4000</v>
      </c>
      <c r="N101" s="30">
        <f t="shared" si="406"/>
        <v>4000</v>
      </c>
      <c r="O101" s="30">
        <f t="shared" si="406"/>
        <v>4000</v>
      </c>
      <c r="P101" s="30">
        <f t="shared" si="406"/>
        <v>4000</v>
      </c>
      <c r="Q101" s="30">
        <f t="shared" ref="Q101:AD101" si="409">Q$99*$E101</f>
        <v>4000</v>
      </c>
      <c r="R101" s="30">
        <f t="shared" si="409"/>
        <v>4000</v>
      </c>
      <c r="S101" s="30">
        <f t="shared" si="409"/>
        <v>4000</v>
      </c>
      <c r="T101" s="30">
        <f t="shared" si="409"/>
        <v>4000</v>
      </c>
      <c r="U101" s="30">
        <f t="shared" si="409"/>
        <v>4000</v>
      </c>
      <c r="V101" s="30">
        <f t="shared" si="409"/>
        <v>4000</v>
      </c>
      <c r="W101" s="30">
        <f t="shared" si="409"/>
        <v>4000</v>
      </c>
      <c r="X101" s="30">
        <f t="shared" si="409"/>
        <v>4000</v>
      </c>
      <c r="Y101" s="30">
        <f t="shared" si="409"/>
        <v>4000</v>
      </c>
      <c r="Z101" s="30">
        <f t="shared" si="409"/>
        <v>4000</v>
      </c>
      <c r="AA101" s="30">
        <f t="shared" si="409"/>
        <v>4000</v>
      </c>
      <c r="AB101" s="30">
        <f t="shared" si="409"/>
        <v>4000</v>
      </c>
      <c r="AC101" s="30">
        <f t="shared" si="409"/>
        <v>4000</v>
      </c>
      <c r="AD101" s="30">
        <f t="shared" si="409"/>
        <v>8000</v>
      </c>
      <c r="AE101" s="30">
        <f t="shared" si="408"/>
        <v>8000</v>
      </c>
      <c r="AF101" s="30">
        <f t="shared" si="408"/>
        <v>8000</v>
      </c>
      <c r="AG101" s="30">
        <f t="shared" si="408"/>
        <v>8000</v>
      </c>
      <c r="AH101" s="30">
        <f t="shared" si="408"/>
        <v>8000</v>
      </c>
      <c r="AI101" s="30">
        <f t="shared" si="408"/>
        <v>8000</v>
      </c>
      <c r="AJ101" s="30">
        <f t="shared" si="408"/>
        <v>8000</v>
      </c>
      <c r="AK101" s="30">
        <f t="shared" si="408"/>
        <v>8000</v>
      </c>
      <c r="AL101" s="30">
        <f t="shared" si="408"/>
        <v>8000</v>
      </c>
      <c r="AM101" s="30">
        <f t="shared" si="408"/>
        <v>8000</v>
      </c>
      <c r="AN101" s="30">
        <f t="shared" si="408"/>
        <v>8000</v>
      </c>
      <c r="AO101" s="30">
        <f t="shared" si="408"/>
        <v>8000</v>
      </c>
      <c r="AP101" s="30">
        <f t="shared" si="408"/>
        <v>8000</v>
      </c>
      <c r="AQ101" s="30">
        <f t="shared" si="408"/>
        <v>8000</v>
      </c>
      <c r="AR101" s="30">
        <f t="shared" si="408"/>
        <v>8000</v>
      </c>
      <c r="AS101" s="30">
        <f t="shared" si="408"/>
        <v>8000</v>
      </c>
      <c r="AT101" s="30">
        <f t="shared" si="408"/>
        <v>8000</v>
      </c>
      <c r="AU101" s="30">
        <f t="shared" si="408"/>
        <v>8000</v>
      </c>
      <c r="AV101" s="30">
        <f t="shared" si="408"/>
        <v>8000</v>
      </c>
      <c r="AW101" s="30">
        <f t="shared" si="408"/>
        <v>8000</v>
      </c>
      <c r="AX101" s="30">
        <f t="shared" si="408"/>
        <v>8000</v>
      </c>
      <c r="AY101" s="30">
        <f t="shared" si="408"/>
        <v>8000</v>
      </c>
      <c r="AZ101" s="30">
        <f t="shared" si="408"/>
        <v>8000</v>
      </c>
      <c r="BA101" s="30">
        <f t="shared" si="408"/>
        <v>8000</v>
      </c>
      <c r="BB101" s="30">
        <f t="shared" si="408"/>
        <v>8000</v>
      </c>
      <c r="BC101" s="30">
        <f t="shared" si="408"/>
        <v>8000</v>
      </c>
      <c r="BD101" s="30">
        <f t="shared" si="408"/>
        <v>8000</v>
      </c>
      <c r="BE101" s="30">
        <f t="shared" si="408"/>
        <v>8000</v>
      </c>
      <c r="BF101" s="30">
        <f t="shared" si="408"/>
        <v>8000</v>
      </c>
      <c r="BG101" s="30">
        <f t="shared" si="408"/>
        <v>8000</v>
      </c>
      <c r="BH101" s="30">
        <f t="shared" si="408"/>
        <v>8000</v>
      </c>
      <c r="BI101" s="30">
        <f t="shared" si="408"/>
        <v>8000</v>
      </c>
      <c r="BJ101" s="30">
        <f t="shared" si="408"/>
        <v>8000</v>
      </c>
      <c r="BK101" s="30">
        <f t="shared" si="408"/>
        <v>8000</v>
      </c>
      <c r="BL101" s="30">
        <f t="shared" si="408"/>
        <v>8000</v>
      </c>
      <c r="BM101" s="30">
        <f t="shared" si="408"/>
        <v>8000</v>
      </c>
      <c r="BN101" s="30">
        <f t="shared" si="408"/>
        <v>8000</v>
      </c>
    </row>
    <row r="102" spans="2:66" x14ac:dyDescent="0.3">
      <c r="C102" s="44" t="s">
        <v>93</v>
      </c>
      <c r="D102" s="11"/>
      <c r="E102" s="11"/>
      <c r="F102" s="11"/>
      <c r="G102" s="55">
        <f>SUM(G100:G101)</f>
        <v>14000</v>
      </c>
      <c r="H102" s="55">
        <f t="shared" ref="H102:AD102" si="410">SUM(H100:H101)</f>
        <v>14000</v>
      </c>
      <c r="I102" s="55">
        <f t="shared" si="410"/>
        <v>14000</v>
      </c>
      <c r="J102" s="55">
        <f t="shared" si="410"/>
        <v>14000</v>
      </c>
      <c r="K102" s="55">
        <f t="shared" si="410"/>
        <v>14000</v>
      </c>
      <c r="L102" s="55">
        <f t="shared" si="410"/>
        <v>14000</v>
      </c>
      <c r="M102" s="55">
        <f t="shared" si="410"/>
        <v>14000</v>
      </c>
      <c r="N102" s="55">
        <f t="shared" si="410"/>
        <v>14000</v>
      </c>
      <c r="O102" s="55">
        <f t="shared" si="410"/>
        <v>14000</v>
      </c>
      <c r="P102" s="55">
        <f t="shared" si="410"/>
        <v>14000</v>
      </c>
      <c r="Q102" s="55">
        <f t="shared" si="410"/>
        <v>14000</v>
      </c>
      <c r="R102" s="55">
        <f t="shared" si="410"/>
        <v>14000</v>
      </c>
      <c r="S102" s="55">
        <f t="shared" si="410"/>
        <v>14000</v>
      </c>
      <c r="T102" s="55">
        <f t="shared" si="410"/>
        <v>14000</v>
      </c>
      <c r="U102" s="55">
        <f t="shared" si="410"/>
        <v>14000</v>
      </c>
      <c r="V102" s="55">
        <f t="shared" si="410"/>
        <v>14000</v>
      </c>
      <c r="W102" s="55">
        <f t="shared" si="410"/>
        <v>14000</v>
      </c>
      <c r="X102" s="55">
        <f t="shared" si="410"/>
        <v>14000</v>
      </c>
      <c r="Y102" s="55">
        <f t="shared" si="410"/>
        <v>14000</v>
      </c>
      <c r="Z102" s="55">
        <f t="shared" si="410"/>
        <v>14000</v>
      </c>
      <c r="AA102" s="55">
        <f t="shared" si="410"/>
        <v>14000</v>
      </c>
      <c r="AB102" s="55">
        <f t="shared" si="410"/>
        <v>14000</v>
      </c>
      <c r="AC102" s="55">
        <f t="shared" si="410"/>
        <v>14000</v>
      </c>
      <c r="AD102" s="55">
        <f t="shared" si="410"/>
        <v>28000</v>
      </c>
      <c r="AE102" s="55">
        <f t="shared" ref="AE102:BN102" si="411">SUM(AE100:AE101)</f>
        <v>28000</v>
      </c>
      <c r="AF102" s="55">
        <f t="shared" si="411"/>
        <v>28000</v>
      </c>
      <c r="AG102" s="55">
        <f t="shared" si="411"/>
        <v>28000</v>
      </c>
      <c r="AH102" s="55">
        <f t="shared" si="411"/>
        <v>28000</v>
      </c>
      <c r="AI102" s="55">
        <f t="shared" si="411"/>
        <v>28000</v>
      </c>
      <c r="AJ102" s="55">
        <f t="shared" si="411"/>
        <v>28000</v>
      </c>
      <c r="AK102" s="55">
        <f t="shared" si="411"/>
        <v>28000</v>
      </c>
      <c r="AL102" s="55">
        <f t="shared" si="411"/>
        <v>28000</v>
      </c>
      <c r="AM102" s="55">
        <f t="shared" si="411"/>
        <v>28000</v>
      </c>
      <c r="AN102" s="55">
        <f t="shared" si="411"/>
        <v>28000</v>
      </c>
      <c r="AO102" s="55">
        <f t="shared" si="411"/>
        <v>28000</v>
      </c>
      <c r="AP102" s="55">
        <f t="shared" si="411"/>
        <v>28000</v>
      </c>
      <c r="AQ102" s="55">
        <f t="shared" si="411"/>
        <v>28000</v>
      </c>
      <c r="AR102" s="55">
        <f t="shared" si="411"/>
        <v>28000</v>
      </c>
      <c r="AS102" s="55">
        <f t="shared" si="411"/>
        <v>28000</v>
      </c>
      <c r="AT102" s="55">
        <f t="shared" si="411"/>
        <v>28000</v>
      </c>
      <c r="AU102" s="55">
        <f t="shared" si="411"/>
        <v>28000</v>
      </c>
      <c r="AV102" s="55">
        <f t="shared" si="411"/>
        <v>28000</v>
      </c>
      <c r="AW102" s="55">
        <f t="shared" si="411"/>
        <v>28000</v>
      </c>
      <c r="AX102" s="55">
        <f t="shared" si="411"/>
        <v>28000</v>
      </c>
      <c r="AY102" s="55">
        <f t="shared" si="411"/>
        <v>28000</v>
      </c>
      <c r="AZ102" s="55">
        <f t="shared" si="411"/>
        <v>28000</v>
      </c>
      <c r="BA102" s="55">
        <f t="shared" si="411"/>
        <v>28000</v>
      </c>
      <c r="BB102" s="55">
        <f t="shared" si="411"/>
        <v>28000</v>
      </c>
      <c r="BC102" s="55">
        <f t="shared" si="411"/>
        <v>28000</v>
      </c>
      <c r="BD102" s="55">
        <f t="shared" si="411"/>
        <v>28000</v>
      </c>
      <c r="BE102" s="55">
        <f t="shared" si="411"/>
        <v>28000</v>
      </c>
      <c r="BF102" s="55">
        <f t="shared" si="411"/>
        <v>28000</v>
      </c>
      <c r="BG102" s="55">
        <f t="shared" si="411"/>
        <v>28000</v>
      </c>
      <c r="BH102" s="55">
        <f t="shared" si="411"/>
        <v>28000</v>
      </c>
      <c r="BI102" s="55">
        <f t="shared" si="411"/>
        <v>28000</v>
      </c>
      <c r="BJ102" s="55">
        <f t="shared" si="411"/>
        <v>28000</v>
      </c>
      <c r="BK102" s="55">
        <f t="shared" si="411"/>
        <v>28000</v>
      </c>
      <c r="BL102" s="55">
        <f t="shared" si="411"/>
        <v>28000</v>
      </c>
      <c r="BM102" s="55">
        <f t="shared" si="411"/>
        <v>28000</v>
      </c>
      <c r="BN102" s="55">
        <f t="shared" si="411"/>
        <v>28000</v>
      </c>
    </row>
    <row r="104" spans="2:66" x14ac:dyDescent="0.3">
      <c r="B104" s="22" t="s">
        <v>0</v>
      </c>
      <c r="C104" s="23" t="s">
        <v>95</v>
      </c>
      <c r="E104" s="63" t="s">
        <v>15</v>
      </c>
    </row>
    <row r="105" spans="2:66" ht="3" customHeight="1" x14ac:dyDescent="0.3"/>
    <row r="106" spans="2:66" x14ac:dyDescent="0.3">
      <c r="C106" s="5" t="s">
        <v>94</v>
      </c>
      <c r="G106" s="38">
        <f>G107*G$35</f>
        <v>210.625</v>
      </c>
      <c r="H106" s="38">
        <f t="shared" ref="H106:BN106" si="412">H107*H$35</f>
        <v>419.25</v>
      </c>
      <c r="I106" s="38">
        <f t="shared" si="412"/>
        <v>630.375</v>
      </c>
      <c r="J106" s="38">
        <f t="shared" si="412"/>
        <v>844</v>
      </c>
      <c r="K106" s="38">
        <f t="shared" si="412"/>
        <v>1064.5</v>
      </c>
      <c r="L106" s="38">
        <f t="shared" si="412"/>
        <v>1293.375</v>
      </c>
      <c r="M106" s="38">
        <f t="shared" si="412"/>
        <v>1533.625</v>
      </c>
      <c r="N106" s="38">
        <f t="shared" si="412"/>
        <v>1786.625</v>
      </c>
      <c r="O106" s="38">
        <f t="shared" si="412"/>
        <v>2055.375</v>
      </c>
      <c r="P106" s="38">
        <f t="shared" si="412"/>
        <v>2341.25</v>
      </c>
      <c r="Q106" s="38">
        <f t="shared" si="412"/>
        <v>2645.75</v>
      </c>
      <c r="R106" s="38">
        <f t="shared" si="412"/>
        <v>2971.75</v>
      </c>
      <c r="S106" s="38">
        <f t="shared" si="412"/>
        <v>3297.625</v>
      </c>
      <c r="T106" s="38">
        <f t="shared" si="412"/>
        <v>3648.125</v>
      </c>
      <c r="U106" s="38">
        <f t="shared" si="412"/>
        <v>4026.125</v>
      </c>
      <c r="V106" s="38">
        <f t="shared" si="412"/>
        <v>4436</v>
      </c>
      <c r="W106" s="38">
        <f t="shared" si="412"/>
        <v>4879.25</v>
      </c>
      <c r="X106" s="38">
        <f t="shared" si="412"/>
        <v>5358.875</v>
      </c>
      <c r="Y106" s="38">
        <f t="shared" si="412"/>
        <v>5879.25</v>
      </c>
      <c r="Z106" s="38">
        <f t="shared" si="412"/>
        <v>6444.75</v>
      </c>
      <c r="AA106" s="38">
        <f t="shared" si="412"/>
        <v>7058.25</v>
      </c>
      <c r="AB106" s="38">
        <f t="shared" si="412"/>
        <v>7727.125</v>
      </c>
      <c r="AC106" s="38">
        <f t="shared" si="412"/>
        <v>8454.375</v>
      </c>
      <c r="AD106" s="38">
        <f t="shared" si="412"/>
        <v>9242.875</v>
      </c>
      <c r="AE106" s="38">
        <f t="shared" si="412"/>
        <v>10053.375</v>
      </c>
      <c r="AF106" s="38">
        <f t="shared" si="412"/>
        <v>10935.625</v>
      </c>
      <c r="AG106" s="38">
        <f t="shared" si="412"/>
        <v>11897</v>
      </c>
      <c r="AH106" s="38">
        <f t="shared" si="412"/>
        <v>12946.375</v>
      </c>
      <c r="AI106" s="38">
        <f t="shared" si="412"/>
        <v>14088.125</v>
      </c>
      <c r="AJ106" s="38">
        <f t="shared" si="412"/>
        <v>15334</v>
      </c>
      <c r="AK106" s="38">
        <f t="shared" si="412"/>
        <v>16692.875</v>
      </c>
      <c r="AL106" s="38">
        <f t="shared" si="412"/>
        <v>18173.75</v>
      </c>
      <c r="AM106" s="38">
        <f t="shared" si="412"/>
        <v>19788.375</v>
      </c>
      <c r="AN106" s="38">
        <f t="shared" si="412"/>
        <v>21548.5</v>
      </c>
      <c r="AO106" s="38">
        <f t="shared" si="412"/>
        <v>23471.75</v>
      </c>
      <c r="AP106" s="38">
        <f t="shared" si="412"/>
        <v>25570.125</v>
      </c>
      <c r="AQ106" s="38">
        <f t="shared" si="412"/>
        <v>27858.5</v>
      </c>
      <c r="AR106" s="38">
        <f t="shared" si="412"/>
        <v>30358.875</v>
      </c>
      <c r="AS106" s="38">
        <f t="shared" si="412"/>
        <v>33090.5</v>
      </c>
      <c r="AT106" s="38">
        <f t="shared" si="412"/>
        <v>36071.25</v>
      </c>
      <c r="AU106" s="38">
        <f t="shared" si="412"/>
        <v>39329.125</v>
      </c>
      <c r="AV106" s="38">
        <f t="shared" si="412"/>
        <v>42889.25</v>
      </c>
      <c r="AW106" s="38">
        <f t="shared" si="412"/>
        <v>46779.875</v>
      </c>
      <c r="AX106" s="38">
        <f t="shared" si="412"/>
        <v>51033.5</v>
      </c>
      <c r="AY106" s="38">
        <f t="shared" si="412"/>
        <v>55682.75</v>
      </c>
      <c r="AZ106" s="38">
        <f t="shared" si="412"/>
        <v>60763.25</v>
      </c>
      <c r="BA106" s="38">
        <f t="shared" si="412"/>
        <v>66318</v>
      </c>
      <c r="BB106" s="38">
        <f t="shared" si="412"/>
        <v>72392.875</v>
      </c>
      <c r="BC106" s="38">
        <f t="shared" si="412"/>
        <v>79036.875</v>
      </c>
      <c r="BD106" s="38">
        <f t="shared" si="412"/>
        <v>86305</v>
      </c>
      <c r="BE106" s="38">
        <f t="shared" si="412"/>
        <v>94252.25</v>
      </c>
      <c r="BF106" s="38">
        <f t="shared" si="412"/>
        <v>102948.125</v>
      </c>
      <c r="BG106" s="38">
        <f t="shared" si="412"/>
        <v>112462.625</v>
      </c>
      <c r="BH106" s="38">
        <f t="shared" si="412"/>
        <v>122874.5</v>
      </c>
      <c r="BI106" s="38">
        <f t="shared" si="412"/>
        <v>134268.375</v>
      </c>
      <c r="BJ106" s="38">
        <f t="shared" si="412"/>
        <v>146740.875</v>
      </c>
      <c r="BK106" s="38">
        <f t="shared" si="412"/>
        <v>160393.125</v>
      </c>
      <c r="BL106" s="38">
        <f t="shared" si="412"/>
        <v>175336.75</v>
      </c>
      <c r="BM106" s="38">
        <f t="shared" si="412"/>
        <v>191696.625</v>
      </c>
      <c r="BN106" s="38">
        <f t="shared" si="412"/>
        <v>209611</v>
      </c>
    </row>
    <row r="107" spans="2:66" x14ac:dyDescent="0.3">
      <c r="C107" s="25" t="s">
        <v>55</v>
      </c>
      <c r="E107" s="68">
        <f>Assumptions!$E$55</f>
        <v>0.05</v>
      </c>
      <c r="G107" s="70">
        <f>$E107</f>
        <v>0.05</v>
      </c>
      <c r="H107" s="70">
        <f t="shared" ref="H107:BN107" si="413">$E107</f>
        <v>0.05</v>
      </c>
      <c r="I107" s="70">
        <f t="shared" si="413"/>
        <v>0.05</v>
      </c>
      <c r="J107" s="70">
        <f t="shared" si="413"/>
        <v>0.05</v>
      </c>
      <c r="K107" s="70">
        <f t="shared" si="413"/>
        <v>0.05</v>
      </c>
      <c r="L107" s="70">
        <f t="shared" si="413"/>
        <v>0.05</v>
      </c>
      <c r="M107" s="70">
        <f t="shared" si="413"/>
        <v>0.05</v>
      </c>
      <c r="N107" s="70">
        <f t="shared" si="413"/>
        <v>0.05</v>
      </c>
      <c r="O107" s="70">
        <f t="shared" si="413"/>
        <v>0.05</v>
      </c>
      <c r="P107" s="70">
        <f t="shared" si="413"/>
        <v>0.05</v>
      </c>
      <c r="Q107" s="70">
        <f t="shared" si="413"/>
        <v>0.05</v>
      </c>
      <c r="R107" s="70">
        <f t="shared" si="413"/>
        <v>0.05</v>
      </c>
      <c r="S107" s="70">
        <f t="shared" si="413"/>
        <v>0.05</v>
      </c>
      <c r="T107" s="70">
        <f t="shared" si="413"/>
        <v>0.05</v>
      </c>
      <c r="U107" s="70">
        <f t="shared" si="413"/>
        <v>0.05</v>
      </c>
      <c r="V107" s="70">
        <f t="shared" si="413"/>
        <v>0.05</v>
      </c>
      <c r="W107" s="70">
        <f t="shared" si="413"/>
        <v>0.05</v>
      </c>
      <c r="X107" s="70">
        <f t="shared" si="413"/>
        <v>0.05</v>
      </c>
      <c r="Y107" s="70">
        <f t="shared" si="413"/>
        <v>0.05</v>
      </c>
      <c r="Z107" s="70">
        <f t="shared" si="413"/>
        <v>0.05</v>
      </c>
      <c r="AA107" s="70">
        <f t="shared" si="413"/>
        <v>0.05</v>
      </c>
      <c r="AB107" s="70">
        <f t="shared" si="413"/>
        <v>0.05</v>
      </c>
      <c r="AC107" s="70">
        <f t="shared" si="413"/>
        <v>0.05</v>
      </c>
      <c r="AD107" s="70">
        <f t="shared" si="413"/>
        <v>0.05</v>
      </c>
      <c r="AE107" s="70">
        <f t="shared" si="413"/>
        <v>0.05</v>
      </c>
      <c r="AF107" s="70">
        <f t="shared" si="413"/>
        <v>0.05</v>
      </c>
      <c r="AG107" s="70">
        <f t="shared" si="413"/>
        <v>0.05</v>
      </c>
      <c r="AH107" s="70">
        <f t="shared" si="413"/>
        <v>0.05</v>
      </c>
      <c r="AI107" s="70">
        <f t="shared" si="413"/>
        <v>0.05</v>
      </c>
      <c r="AJ107" s="70">
        <f t="shared" si="413"/>
        <v>0.05</v>
      </c>
      <c r="AK107" s="70">
        <f t="shared" si="413"/>
        <v>0.05</v>
      </c>
      <c r="AL107" s="70">
        <f t="shared" si="413"/>
        <v>0.05</v>
      </c>
      <c r="AM107" s="70">
        <f t="shared" si="413"/>
        <v>0.05</v>
      </c>
      <c r="AN107" s="70">
        <f t="shared" si="413"/>
        <v>0.05</v>
      </c>
      <c r="AO107" s="70">
        <f t="shared" si="413"/>
        <v>0.05</v>
      </c>
      <c r="AP107" s="70">
        <f t="shared" si="413"/>
        <v>0.05</v>
      </c>
      <c r="AQ107" s="70">
        <f t="shared" si="413"/>
        <v>0.05</v>
      </c>
      <c r="AR107" s="70">
        <f t="shared" si="413"/>
        <v>0.05</v>
      </c>
      <c r="AS107" s="70">
        <f t="shared" si="413"/>
        <v>0.05</v>
      </c>
      <c r="AT107" s="70">
        <f t="shared" si="413"/>
        <v>0.05</v>
      </c>
      <c r="AU107" s="70">
        <f t="shared" si="413"/>
        <v>0.05</v>
      </c>
      <c r="AV107" s="70">
        <f t="shared" si="413"/>
        <v>0.05</v>
      </c>
      <c r="AW107" s="70">
        <f t="shared" si="413"/>
        <v>0.05</v>
      </c>
      <c r="AX107" s="70">
        <f t="shared" si="413"/>
        <v>0.05</v>
      </c>
      <c r="AY107" s="70">
        <f t="shared" si="413"/>
        <v>0.05</v>
      </c>
      <c r="AZ107" s="70">
        <f t="shared" si="413"/>
        <v>0.05</v>
      </c>
      <c r="BA107" s="70">
        <f t="shared" si="413"/>
        <v>0.05</v>
      </c>
      <c r="BB107" s="70">
        <f t="shared" si="413"/>
        <v>0.05</v>
      </c>
      <c r="BC107" s="70">
        <f t="shared" si="413"/>
        <v>0.05</v>
      </c>
      <c r="BD107" s="70">
        <f t="shared" si="413"/>
        <v>0.05</v>
      </c>
      <c r="BE107" s="70">
        <f t="shared" si="413"/>
        <v>0.05</v>
      </c>
      <c r="BF107" s="70">
        <f t="shared" si="413"/>
        <v>0.05</v>
      </c>
      <c r="BG107" s="70">
        <f t="shared" si="413"/>
        <v>0.05</v>
      </c>
      <c r="BH107" s="70">
        <f t="shared" si="413"/>
        <v>0.05</v>
      </c>
      <c r="BI107" s="70">
        <f t="shared" si="413"/>
        <v>0.05</v>
      </c>
      <c r="BJ107" s="70">
        <f t="shared" si="413"/>
        <v>0.05</v>
      </c>
      <c r="BK107" s="70">
        <f t="shared" si="413"/>
        <v>0.05</v>
      </c>
      <c r="BL107" s="70">
        <f t="shared" si="413"/>
        <v>0.05</v>
      </c>
      <c r="BM107" s="70">
        <f t="shared" si="413"/>
        <v>0.05</v>
      </c>
      <c r="BN107" s="70">
        <f t="shared" si="413"/>
        <v>0.05</v>
      </c>
    </row>
    <row r="109" spans="2:66" x14ac:dyDescent="0.3">
      <c r="C109" t="s">
        <v>97</v>
      </c>
      <c r="G109" s="37">
        <f t="shared" ref="G109:AL109" si="414">-G72</f>
        <v>-54000</v>
      </c>
      <c r="H109" s="37">
        <f t="shared" si="414"/>
        <v>-54000</v>
      </c>
      <c r="I109" s="37">
        <f t="shared" si="414"/>
        <v>-54000</v>
      </c>
      <c r="J109" s="37">
        <f t="shared" si="414"/>
        <v>-72000</v>
      </c>
      <c r="K109" s="37">
        <f t="shared" si="414"/>
        <v>-72000</v>
      </c>
      <c r="L109" s="37">
        <f t="shared" si="414"/>
        <v>-72000</v>
      </c>
      <c r="M109" s="37">
        <f t="shared" si="414"/>
        <v>-96000</v>
      </c>
      <c r="N109" s="37">
        <f t="shared" si="414"/>
        <v>-96000</v>
      </c>
      <c r="O109" s="37">
        <f t="shared" si="414"/>
        <v>-96000</v>
      </c>
      <c r="P109" s="37">
        <f t="shared" si="414"/>
        <v>-132000</v>
      </c>
      <c r="Q109" s="37">
        <f t="shared" si="414"/>
        <v>-132000</v>
      </c>
      <c r="R109" s="37">
        <f t="shared" si="414"/>
        <v>-138000</v>
      </c>
      <c r="S109" s="37">
        <f t="shared" si="414"/>
        <v>-160320</v>
      </c>
      <c r="T109" s="37">
        <f t="shared" si="414"/>
        <v>-160320</v>
      </c>
      <c r="U109" s="37">
        <f t="shared" si="414"/>
        <v>-160320</v>
      </c>
      <c r="V109" s="37">
        <f t="shared" si="414"/>
        <v>-203760</v>
      </c>
      <c r="W109" s="37">
        <f t="shared" si="414"/>
        <v>-203760</v>
      </c>
      <c r="X109" s="37">
        <f t="shared" si="414"/>
        <v>-203760</v>
      </c>
      <c r="Y109" s="37">
        <f t="shared" si="414"/>
        <v>-229680</v>
      </c>
      <c r="Z109" s="37">
        <f t="shared" si="414"/>
        <v>-247680</v>
      </c>
      <c r="AA109" s="37">
        <f t="shared" si="414"/>
        <v>-247680</v>
      </c>
      <c r="AB109" s="37">
        <f t="shared" si="414"/>
        <v>-274560</v>
      </c>
      <c r="AC109" s="37">
        <f t="shared" si="414"/>
        <v>-292560</v>
      </c>
      <c r="AD109" s="37">
        <f t="shared" si="414"/>
        <v>-299040</v>
      </c>
      <c r="AE109" s="37">
        <f t="shared" si="414"/>
        <v>-318825.59999999998</v>
      </c>
      <c r="AF109" s="37">
        <f t="shared" si="414"/>
        <v>-342825.6</v>
      </c>
      <c r="AG109" s="37">
        <f t="shared" si="414"/>
        <v>-348825.59999999998</v>
      </c>
      <c r="AH109" s="37">
        <f t="shared" si="414"/>
        <v>-394300.8</v>
      </c>
      <c r="AI109" s="37">
        <f t="shared" si="414"/>
        <v>-394300.8</v>
      </c>
      <c r="AJ109" s="37">
        <f t="shared" si="414"/>
        <v>-418300.8</v>
      </c>
      <c r="AK109" s="37">
        <f t="shared" si="414"/>
        <v>-462374.40000000002</v>
      </c>
      <c r="AL109" s="37">
        <f t="shared" si="414"/>
        <v>-469814.4</v>
      </c>
      <c r="AM109" s="37">
        <f t="shared" ref="AM109:BN109" si="415">-AM72</f>
        <v>-499814.40000000002</v>
      </c>
      <c r="AN109" s="37">
        <f t="shared" si="415"/>
        <v>-543964.80000000005</v>
      </c>
      <c r="AO109" s="37">
        <f t="shared" si="415"/>
        <v>-569404.80000000005</v>
      </c>
      <c r="AP109" s="37">
        <f t="shared" si="415"/>
        <v>-599923.19999999995</v>
      </c>
      <c r="AQ109" s="37">
        <f t="shared" si="415"/>
        <v>-643506.04800000007</v>
      </c>
      <c r="AR109" s="37">
        <f t="shared" si="415"/>
        <v>-675426.04800000007</v>
      </c>
      <c r="AS109" s="37">
        <f t="shared" si="415"/>
        <v>-705906.04800000007</v>
      </c>
      <c r="AT109" s="37">
        <f t="shared" si="415"/>
        <v>-775544.06400000001</v>
      </c>
      <c r="AU109" s="37">
        <f t="shared" si="415"/>
        <v>-811544.06400000001</v>
      </c>
      <c r="AV109" s="37">
        <f t="shared" si="415"/>
        <v>-861464.06400000001</v>
      </c>
      <c r="AW109" s="37">
        <f t="shared" si="415"/>
        <v>-936989.95199999993</v>
      </c>
      <c r="AX109" s="37">
        <f t="shared" si="415"/>
        <v>-991585.152</v>
      </c>
      <c r="AY109" s="37">
        <f t="shared" si="415"/>
        <v>-1047985.152</v>
      </c>
      <c r="AZ109" s="37">
        <f t="shared" si="415"/>
        <v>-1147517.1839999999</v>
      </c>
      <c r="BA109" s="37">
        <f t="shared" si="415"/>
        <v>-1209552.3840000001</v>
      </c>
      <c r="BB109" s="37">
        <f t="shared" si="415"/>
        <v>-1289993.8559999999</v>
      </c>
      <c r="BC109" s="37">
        <f t="shared" si="415"/>
        <v>-1395480.4838400001</v>
      </c>
      <c r="BD109" s="37">
        <f t="shared" si="415"/>
        <v>-1500034.08384</v>
      </c>
      <c r="BE109" s="37">
        <f t="shared" si="415"/>
        <v>-1604472.4838400001</v>
      </c>
      <c r="BF109" s="37">
        <f t="shared" si="415"/>
        <v>-1742043.5251200001</v>
      </c>
      <c r="BG109" s="37">
        <f t="shared" si="415"/>
        <v>-1852923.5251200001</v>
      </c>
      <c r="BH109" s="37">
        <f t="shared" si="415"/>
        <v>-1994917.12512</v>
      </c>
      <c r="BI109" s="37">
        <f t="shared" si="415"/>
        <v>-2174959.1961600003</v>
      </c>
      <c r="BJ109" s="37">
        <f t="shared" si="415"/>
        <v>-2335326.8121600002</v>
      </c>
      <c r="BK109" s="37">
        <f t="shared" si="415"/>
        <v>-2507838.8121600002</v>
      </c>
      <c r="BL109" s="37">
        <f t="shared" si="415"/>
        <v>-2737801.3747199997</v>
      </c>
      <c r="BM109" s="37">
        <f t="shared" si="415"/>
        <v>-2958764.1907200003</v>
      </c>
      <c r="BN109" s="37">
        <f t="shared" si="415"/>
        <v>-3181199.5084800003</v>
      </c>
    </row>
    <row r="110" spans="2:66" x14ac:dyDescent="0.3">
      <c r="C110" t="s">
        <v>75</v>
      </c>
      <c r="G110" s="27">
        <f t="shared" ref="G110:AL110" si="416">-G82</f>
        <v>-210.625</v>
      </c>
      <c r="H110" s="27">
        <f t="shared" si="416"/>
        <v>-419.25</v>
      </c>
      <c r="I110" s="27">
        <f t="shared" si="416"/>
        <v>-630.375</v>
      </c>
      <c r="J110" s="27">
        <f t="shared" si="416"/>
        <v>-844</v>
      </c>
      <c r="K110" s="27">
        <f t="shared" si="416"/>
        <v>-1064.5</v>
      </c>
      <c r="L110" s="27">
        <f t="shared" si="416"/>
        <v>-1293.375</v>
      </c>
      <c r="M110" s="27">
        <f t="shared" si="416"/>
        <v>-1533.625</v>
      </c>
      <c r="N110" s="27">
        <f t="shared" si="416"/>
        <v>-1786.625</v>
      </c>
      <c r="O110" s="27">
        <f t="shared" si="416"/>
        <v>-2055.375</v>
      </c>
      <c r="P110" s="27">
        <f t="shared" si="416"/>
        <v>-2341.25</v>
      </c>
      <c r="Q110" s="27">
        <f t="shared" si="416"/>
        <v>-2645.75</v>
      </c>
      <c r="R110" s="27">
        <f t="shared" si="416"/>
        <v>-2971.75</v>
      </c>
      <c r="S110" s="27">
        <f t="shared" si="416"/>
        <v>-3297.625</v>
      </c>
      <c r="T110" s="27">
        <f t="shared" si="416"/>
        <v>-3648.125</v>
      </c>
      <c r="U110" s="27">
        <f t="shared" si="416"/>
        <v>-4026.125</v>
      </c>
      <c r="V110" s="27">
        <f t="shared" si="416"/>
        <v>-4436</v>
      </c>
      <c r="W110" s="27">
        <f t="shared" si="416"/>
        <v>-4879.25</v>
      </c>
      <c r="X110" s="27">
        <f t="shared" si="416"/>
        <v>-5358.875</v>
      </c>
      <c r="Y110" s="27">
        <f t="shared" si="416"/>
        <v>-5879.25</v>
      </c>
      <c r="Z110" s="27">
        <f t="shared" si="416"/>
        <v>-6444.75</v>
      </c>
      <c r="AA110" s="27">
        <f t="shared" si="416"/>
        <v>-7058.25</v>
      </c>
      <c r="AB110" s="27">
        <f t="shared" si="416"/>
        <v>-7727.125</v>
      </c>
      <c r="AC110" s="27">
        <f t="shared" si="416"/>
        <v>-8454.375</v>
      </c>
      <c r="AD110" s="27">
        <f t="shared" si="416"/>
        <v>-9242.875</v>
      </c>
      <c r="AE110" s="27">
        <f t="shared" si="416"/>
        <v>-10053.375</v>
      </c>
      <c r="AF110" s="27">
        <f t="shared" si="416"/>
        <v>-10935.625</v>
      </c>
      <c r="AG110" s="27">
        <f t="shared" si="416"/>
        <v>-11897</v>
      </c>
      <c r="AH110" s="27">
        <f t="shared" si="416"/>
        <v>-12946.375</v>
      </c>
      <c r="AI110" s="27">
        <f t="shared" si="416"/>
        <v>-14088.125</v>
      </c>
      <c r="AJ110" s="27">
        <f t="shared" si="416"/>
        <v>-15334</v>
      </c>
      <c r="AK110" s="27">
        <f t="shared" si="416"/>
        <v>-16692.875</v>
      </c>
      <c r="AL110" s="27">
        <f t="shared" si="416"/>
        <v>-18173.75</v>
      </c>
      <c r="AM110" s="27">
        <f t="shared" ref="AM110:BN110" si="417">-AM82</f>
        <v>-19788.375</v>
      </c>
      <c r="AN110" s="27">
        <f t="shared" si="417"/>
        <v>-21548.5</v>
      </c>
      <c r="AO110" s="27">
        <f t="shared" si="417"/>
        <v>-23471.75</v>
      </c>
      <c r="AP110" s="27">
        <f t="shared" si="417"/>
        <v>-25570.125</v>
      </c>
      <c r="AQ110" s="27">
        <f t="shared" si="417"/>
        <v>-27858.5</v>
      </c>
      <c r="AR110" s="27">
        <f t="shared" si="417"/>
        <v>-30358.875</v>
      </c>
      <c r="AS110" s="27">
        <f t="shared" si="417"/>
        <v>-33090.5</v>
      </c>
      <c r="AT110" s="27">
        <f t="shared" si="417"/>
        <v>-36071.25</v>
      </c>
      <c r="AU110" s="27">
        <f t="shared" si="417"/>
        <v>-39329.125</v>
      </c>
      <c r="AV110" s="27">
        <f t="shared" si="417"/>
        <v>-42889.25</v>
      </c>
      <c r="AW110" s="27">
        <f t="shared" si="417"/>
        <v>-46779.875</v>
      </c>
      <c r="AX110" s="27">
        <f t="shared" si="417"/>
        <v>-51033.5</v>
      </c>
      <c r="AY110" s="27">
        <f t="shared" si="417"/>
        <v>-55682.75</v>
      </c>
      <c r="AZ110" s="27">
        <f t="shared" si="417"/>
        <v>-60763.25</v>
      </c>
      <c r="BA110" s="27">
        <f t="shared" si="417"/>
        <v>-66318</v>
      </c>
      <c r="BB110" s="27">
        <f t="shared" si="417"/>
        <v>-72392.875</v>
      </c>
      <c r="BC110" s="27">
        <f t="shared" si="417"/>
        <v>-79036.875</v>
      </c>
      <c r="BD110" s="27">
        <f t="shared" si="417"/>
        <v>-86305</v>
      </c>
      <c r="BE110" s="27">
        <f t="shared" si="417"/>
        <v>-94252.25</v>
      </c>
      <c r="BF110" s="27">
        <f t="shared" si="417"/>
        <v>-102948.125</v>
      </c>
      <c r="BG110" s="27">
        <f t="shared" si="417"/>
        <v>-112462.625</v>
      </c>
      <c r="BH110" s="27">
        <f t="shared" si="417"/>
        <v>-122874.5</v>
      </c>
      <c r="BI110" s="27">
        <f t="shared" si="417"/>
        <v>-134268.375</v>
      </c>
      <c r="BJ110" s="27">
        <f t="shared" si="417"/>
        <v>-146740.875</v>
      </c>
      <c r="BK110" s="27">
        <f t="shared" si="417"/>
        <v>-160393.125</v>
      </c>
      <c r="BL110" s="27">
        <f t="shared" si="417"/>
        <v>-175336.75</v>
      </c>
      <c r="BM110" s="27">
        <f t="shared" si="417"/>
        <v>-191696.625</v>
      </c>
      <c r="BN110" s="27">
        <f t="shared" si="417"/>
        <v>-209611</v>
      </c>
    </row>
    <row r="111" spans="2:66" x14ac:dyDescent="0.3">
      <c r="C111" t="s">
        <v>98</v>
      </c>
      <c r="G111" s="27">
        <f>-G95</f>
        <v>-20000</v>
      </c>
      <c r="H111" s="27">
        <f t="shared" ref="H111:AD111" si="418">-H95</f>
        <v>-21700</v>
      </c>
      <c r="I111" s="27">
        <f t="shared" si="418"/>
        <v>-23500</v>
      </c>
      <c r="J111" s="27">
        <f t="shared" si="418"/>
        <v>-24398</v>
      </c>
      <c r="K111" s="27">
        <f t="shared" si="418"/>
        <v>-26508</v>
      </c>
      <c r="L111" s="27">
        <f t="shared" si="418"/>
        <v>-28713</v>
      </c>
      <c r="M111" s="27">
        <f t="shared" si="418"/>
        <v>-29870.760000000002</v>
      </c>
      <c r="N111" s="27">
        <f t="shared" si="418"/>
        <v>-32443.84</v>
      </c>
      <c r="O111" s="27">
        <f t="shared" si="418"/>
        <v>-35197.42</v>
      </c>
      <c r="P111" s="27">
        <f t="shared" si="418"/>
        <v>-36698.0821</v>
      </c>
      <c r="Q111" s="27">
        <f t="shared" si="418"/>
        <v>-39776.311800000003</v>
      </c>
      <c r="R111" s="27">
        <f t="shared" si="418"/>
        <v>-43208.551099999997</v>
      </c>
      <c r="S111" s="27">
        <f t="shared" si="418"/>
        <v>-45005.788563000002</v>
      </c>
      <c r="T111" s="27">
        <f t="shared" si="418"/>
        <v>-48879.933121000002</v>
      </c>
      <c r="U111" s="27">
        <f t="shared" si="418"/>
        <v>-52998.429554000002</v>
      </c>
      <c r="V111" s="27">
        <f t="shared" si="418"/>
        <v>-55199.677631280007</v>
      </c>
      <c r="W111" s="27">
        <f t="shared" si="418"/>
        <v>-60029.260050320008</v>
      </c>
      <c r="X111" s="27">
        <f t="shared" si="418"/>
        <v>-65090.976750610003</v>
      </c>
      <c r="Y111" s="27">
        <f t="shared" si="418"/>
        <v>-67814.662303671299</v>
      </c>
      <c r="Z111" s="27">
        <f t="shared" si="418"/>
        <v>-73655.848969611703</v>
      </c>
      <c r="AA111" s="27">
        <f t="shared" si="418"/>
        <v>-80031.175981850407</v>
      </c>
      <c r="AB111" s="27">
        <f t="shared" si="418"/>
        <v>-83423.115371472653</v>
      </c>
      <c r="AC111" s="27">
        <f t="shared" si="418"/>
        <v>-90687.520358600392</v>
      </c>
      <c r="AD111" s="27">
        <f t="shared" si="418"/>
        <v>-98532.524292340619</v>
      </c>
      <c r="AE111" s="27">
        <f t="shared" ref="AE111:BN111" si="419">-AE95</f>
        <v>-102644.6137550922</v>
      </c>
      <c r="AF111" s="27">
        <f t="shared" si="419"/>
        <v>-111684.02903131564</v>
      </c>
      <c r="AG111" s="27">
        <f t="shared" si="419"/>
        <v>-121477.27136758677</v>
      </c>
      <c r="AH111" s="27">
        <f t="shared" si="419"/>
        <v>-126558.30958239356</v>
      </c>
      <c r="AI111" s="27">
        <f t="shared" si="419"/>
        <v>-137644.36169868585</v>
      </c>
      <c r="AJ111" s="27">
        <f t="shared" si="419"/>
        <v>-149790.8055301095</v>
      </c>
      <c r="AK111" s="27">
        <f t="shared" si="419"/>
        <v>-156037.33606991582</v>
      </c>
      <c r="AL111" s="27">
        <f t="shared" si="419"/>
        <v>-169714.56595194899</v>
      </c>
      <c r="AM111" s="27">
        <f t="shared" si="419"/>
        <v>-184644.74458752148</v>
      </c>
      <c r="AN111" s="27">
        <f t="shared" si="419"/>
        <v>-192496.66327952777</v>
      </c>
      <c r="AO111" s="27">
        <f t="shared" si="419"/>
        <v>-209534.75531033997</v>
      </c>
      <c r="AP111" s="27">
        <f t="shared" si="419"/>
        <v>-228053.44809616797</v>
      </c>
      <c r="AQ111" s="27">
        <f t="shared" si="419"/>
        <v>-237690.92096383771</v>
      </c>
      <c r="AR111" s="27">
        <f t="shared" si="419"/>
        <v>-258872.78018638509</v>
      </c>
      <c r="AS111" s="27">
        <f t="shared" si="419"/>
        <v>-281983.95307098515</v>
      </c>
      <c r="AT111" s="27">
        <f t="shared" si="419"/>
        <v>-293910.14515583386</v>
      </c>
      <c r="AU111" s="27">
        <f t="shared" si="419"/>
        <v>-320223.82901929168</v>
      </c>
      <c r="AV111" s="27">
        <f t="shared" si="419"/>
        <v>-348975.30026301619</v>
      </c>
      <c r="AW111" s="27">
        <f t="shared" si="419"/>
        <v>-363890.05911840766</v>
      </c>
      <c r="AX111" s="27">
        <f t="shared" si="419"/>
        <v>-396598.64194919489</v>
      </c>
      <c r="AY111" s="27">
        <f t="shared" si="419"/>
        <v>-432349.66845510877</v>
      </c>
      <c r="AZ111" s="27">
        <f t="shared" si="419"/>
        <v>-450836.34226639959</v>
      </c>
      <c r="BA111" s="27">
        <f t="shared" si="419"/>
        <v>-491533.24535191141</v>
      </c>
      <c r="BB111" s="27">
        <f t="shared" si="419"/>
        <v>-536047.77198344166</v>
      </c>
      <c r="BC111" s="27">
        <f t="shared" si="419"/>
        <v>-559014.26979415934</v>
      </c>
      <c r="BD111" s="27">
        <f t="shared" si="419"/>
        <v>-609687.57563975011</v>
      </c>
      <c r="BE111" s="27">
        <f t="shared" si="419"/>
        <v>-665049.9386174588</v>
      </c>
      <c r="BF111" s="27">
        <f t="shared" si="419"/>
        <v>-693604.68465642154</v>
      </c>
      <c r="BG111" s="27">
        <f t="shared" si="419"/>
        <v>-756812.04714608868</v>
      </c>
      <c r="BH111" s="27">
        <f t="shared" si="419"/>
        <v>-825864.73922799423</v>
      </c>
      <c r="BI111" s="27">
        <f t="shared" si="419"/>
        <v>-861344.05353681929</v>
      </c>
      <c r="BJ111" s="27">
        <f t="shared" si="419"/>
        <v>-940135.22052162571</v>
      </c>
      <c r="BK111" s="27">
        <f t="shared" si="419"/>
        <v>-1026239.1119676207</v>
      </c>
      <c r="BL111" s="27">
        <f t="shared" si="419"/>
        <v>-1070371.0347804485</v>
      </c>
      <c r="BM111" s="27">
        <f t="shared" si="419"/>
        <v>-1168625.3861613523</v>
      </c>
      <c r="BN111" s="27">
        <f t="shared" si="419"/>
        <v>-1276110.8148386166</v>
      </c>
    </row>
    <row r="112" spans="2:66" x14ac:dyDescent="0.3">
      <c r="C112" t="s">
        <v>81</v>
      </c>
      <c r="G112" s="27">
        <f>-G102</f>
        <v>-14000</v>
      </c>
      <c r="H112" s="27">
        <f t="shared" ref="H112:AD112" si="420">-H102</f>
        <v>-14000</v>
      </c>
      <c r="I112" s="27">
        <f t="shared" si="420"/>
        <v>-14000</v>
      </c>
      <c r="J112" s="27">
        <f t="shared" si="420"/>
        <v>-14000</v>
      </c>
      <c r="K112" s="27">
        <f t="shared" si="420"/>
        <v>-14000</v>
      </c>
      <c r="L112" s="27">
        <f t="shared" si="420"/>
        <v>-14000</v>
      </c>
      <c r="M112" s="27">
        <f t="shared" si="420"/>
        <v>-14000</v>
      </c>
      <c r="N112" s="27">
        <f t="shared" si="420"/>
        <v>-14000</v>
      </c>
      <c r="O112" s="27">
        <f t="shared" si="420"/>
        <v>-14000</v>
      </c>
      <c r="P112" s="27">
        <f t="shared" si="420"/>
        <v>-14000</v>
      </c>
      <c r="Q112" s="27">
        <f t="shared" si="420"/>
        <v>-14000</v>
      </c>
      <c r="R112" s="27">
        <f t="shared" si="420"/>
        <v>-14000</v>
      </c>
      <c r="S112" s="27">
        <f t="shared" si="420"/>
        <v>-14000</v>
      </c>
      <c r="T112" s="27">
        <f t="shared" si="420"/>
        <v>-14000</v>
      </c>
      <c r="U112" s="27">
        <f t="shared" si="420"/>
        <v>-14000</v>
      </c>
      <c r="V112" s="27">
        <f t="shared" si="420"/>
        <v>-14000</v>
      </c>
      <c r="W112" s="27">
        <f t="shared" si="420"/>
        <v>-14000</v>
      </c>
      <c r="X112" s="27">
        <f t="shared" si="420"/>
        <v>-14000</v>
      </c>
      <c r="Y112" s="27">
        <f t="shared" si="420"/>
        <v>-14000</v>
      </c>
      <c r="Z112" s="27">
        <f t="shared" si="420"/>
        <v>-14000</v>
      </c>
      <c r="AA112" s="27">
        <f t="shared" si="420"/>
        <v>-14000</v>
      </c>
      <c r="AB112" s="27">
        <f t="shared" si="420"/>
        <v>-14000</v>
      </c>
      <c r="AC112" s="27">
        <f t="shared" si="420"/>
        <v>-14000</v>
      </c>
      <c r="AD112" s="27">
        <f t="shared" si="420"/>
        <v>-28000</v>
      </c>
      <c r="AE112" s="27">
        <f t="shared" ref="AE112:BN112" si="421">-AE102</f>
        <v>-28000</v>
      </c>
      <c r="AF112" s="27">
        <f t="shared" si="421"/>
        <v>-28000</v>
      </c>
      <c r="AG112" s="27">
        <f t="shared" si="421"/>
        <v>-28000</v>
      </c>
      <c r="AH112" s="27">
        <f t="shared" si="421"/>
        <v>-28000</v>
      </c>
      <c r="AI112" s="27">
        <f t="shared" si="421"/>
        <v>-28000</v>
      </c>
      <c r="AJ112" s="27">
        <f t="shared" si="421"/>
        <v>-28000</v>
      </c>
      <c r="AK112" s="27">
        <f t="shared" si="421"/>
        <v>-28000</v>
      </c>
      <c r="AL112" s="27">
        <f t="shared" si="421"/>
        <v>-28000</v>
      </c>
      <c r="AM112" s="27">
        <f t="shared" si="421"/>
        <v>-28000</v>
      </c>
      <c r="AN112" s="27">
        <f t="shared" si="421"/>
        <v>-28000</v>
      </c>
      <c r="AO112" s="27">
        <f t="shared" si="421"/>
        <v>-28000</v>
      </c>
      <c r="AP112" s="27">
        <f t="shared" si="421"/>
        <v>-28000</v>
      </c>
      <c r="AQ112" s="27">
        <f t="shared" si="421"/>
        <v>-28000</v>
      </c>
      <c r="AR112" s="27">
        <f t="shared" si="421"/>
        <v>-28000</v>
      </c>
      <c r="AS112" s="27">
        <f t="shared" si="421"/>
        <v>-28000</v>
      </c>
      <c r="AT112" s="27">
        <f t="shared" si="421"/>
        <v>-28000</v>
      </c>
      <c r="AU112" s="27">
        <f t="shared" si="421"/>
        <v>-28000</v>
      </c>
      <c r="AV112" s="27">
        <f t="shared" si="421"/>
        <v>-28000</v>
      </c>
      <c r="AW112" s="27">
        <f t="shared" si="421"/>
        <v>-28000</v>
      </c>
      <c r="AX112" s="27">
        <f t="shared" si="421"/>
        <v>-28000</v>
      </c>
      <c r="AY112" s="27">
        <f t="shared" si="421"/>
        <v>-28000</v>
      </c>
      <c r="AZ112" s="27">
        <f t="shared" si="421"/>
        <v>-28000</v>
      </c>
      <c r="BA112" s="27">
        <f t="shared" si="421"/>
        <v>-28000</v>
      </c>
      <c r="BB112" s="27">
        <f t="shared" si="421"/>
        <v>-28000</v>
      </c>
      <c r="BC112" s="27">
        <f t="shared" si="421"/>
        <v>-28000</v>
      </c>
      <c r="BD112" s="27">
        <f t="shared" si="421"/>
        <v>-28000</v>
      </c>
      <c r="BE112" s="27">
        <f t="shared" si="421"/>
        <v>-28000</v>
      </c>
      <c r="BF112" s="27">
        <f t="shared" si="421"/>
        <v>-28000</v>
      </c>
      <c r="BG112" s="27">
        <f t="shared" si="421"/>
        <v>-28000</v>
      </c>
      <c r="BH112" s="27">
        <f t="shared" si="421"/>
        <v>-28000</v>
      </c>
      <c r="BI112" s="27">
        <f t="shared" si="421"/>
        <v>-28000</v>
      </c>
      <c r="BJ112" s="27">
        <f t="shared" si="421"/>
        <v>-28000</v>
      </c>
      <c r="BK112" s="27">
        <f t="shared" si="421"/>
        <v>-28000</v>
      </c>
      <c r="BL112" s="27">
        <f t="shared" si="421"/>
        <v>-28000</v>
      </c>
      <c r="BM112" s="27">
        <f t="shared" si="421"/>
        <v>-28000</v>
      </c>
      <c r="BN112" s="27">
        <f t="shared" si="421"/>
        <v>-28000</v>
      </c>
    </row>
    <row r="113" spans="2:66" x14ac:dyDescent="0.3">
      <c r="C113" t="s">
        <v>95</v>
      </c>
      <c r="G113" s="27">
        <f>-G106</f>
        <v>-210.625</v>
      </c>
      <c r="H113" s="27">
        <f t="shared" ref="H113:AD113" si="422">-H106</f>
        <v>-419.25</v>
      </c>
      <c r="I113" s="27">
        <f t="shared" si="422"/>
        <v>-630.375</v>
      </c>
      <c r="J113" s="27">
        <f t="shared" si="422"/>
        <v>-844</v>
      </c>
      <c r="K113" s="27">
        <f t="shared" si="422"/>
        <v>-1064.5</v>
      </c>
      <c r="L113" s="27">
        <f t="shared" si="422"/>
        <v>-1293.375</v>
      </c>
      <c r="M113" s="27">
        <f t="shared" si="422"/>
        <v>-1533.625</v>
      </c>
      <c r="N113" s="27">
        <f t="shared" si="422"/>
        <v>-1786.625</v>
      </c>
      <c r="O113" s="27">
        <f t="shared" si="422"/>
        <v>-2055.375</v>
      </c>
      <c r="P113" s="27">
        <f t="shared" si="422"/>
        <v>-2341.25</v>
      </c>
      <c r="Q113" s="27">
        <f t="shared" si="422"/>
        <v>-2645.75</v>
      </c>
      <c r="R113" s="27">
        <f t="shared" si="422"/>
        <v>-2971.75</v>
      </c>
      <c r="S113" s="27">
        <f t="shared" si="422"/>
        <v>-3297.625</v>
      </c>
      <c r="T113" s="27">
        <f t="shared" si="422"/>
        <v>-3648.125</v>
      </c>
      <c r="U113" s="27">
        <f t="shared" si="422"/>
        <v>-4026.125</v>
      </c>
      <c r="V113" s="27">
        <f t="shared" si="422"/>
        <v>-4436</v>
      </c>
      <c r="W113" s="27">
        <f t="shared" si="422"/>
        <v>-4879.25</v>
      </c>
      <c r="X113" s="27">
        <f t="shared" si="422"/>
        <v>-5358.875</v>
      </c>
      <c r="Y113" s="27">
        <f t="shared" si="422"/>
        <v>-5879.25</v>
      </c>
      <c r="Z113" s="27">
        <f t="shared" si="422"/>
        <v>-6444.75</v>
      </c>
      <c r="AA113" s="27">
        <f t="shared" si="422"/>
        <v>-7058.25</v>
      </c>
      <c r="AB113" s="27">
        <f t="shared" si="422"/>
        <v>-7727.125</v>
      </c>
      <c r="AC113" s="27">
        <f t="shared" si="422"/>
        <v>-8454.375</v>
      </c>
      <c r="AD113" s="27">
        <f t="shared" si="422"/>
        <v>-9242.875</v>
      </c>
      <c r="AE113" s="27">
        <f t="shared" ref="AE113:BN113" si="423">-AE106</f>
        <v>-10053.375</v>
      </c>
      <c r="AF113" s="27">
        <f t="shared" si="423"/>
        <v>-10935.625</v>
      </c>
      <c r="AG113" s="27">
        <f t="shared" si="423"/>
        <v>-11897</v>
      </c>
      <c r="AH113" s="27">
        <f t="shared" si="423"/>
        <v>-12946.375</v>
      </c>
      <c r="AI113" s="27">
        <f t="shared" si="423"/>
        <v>-14088.125</v>
      </c>
      <c r="AJ113" s="27">
        <f t="shared" si="423"/>
        <v>-15334</v>
      </c>
      <c r="AK113" s="27">
        <f t="shared" si="423"/>
        <v>-16692.875</v>
      </c>
      <c r="AL113" s="27">
        <f t="shared" si="423"/>
        <v>-18173.75</v>
      </c>
      <c r="AM113" s="27">
        <f t="shared" si="423"/>
        <v>-19788.375</v>
      </c>
      <c r="AN113" s="27">
        <f t="shared" si="423"/>
        <v>-21548.5</v>
      </c>
      <c r="AO113" s="27">
        <f t="shared" si="423"/>
        <v>-23471.75</v>
      </c>
      <c r="AP113" s="27">
        <f t="shared" si="423"/>
        <v>-25570.125</v>
      </c>
      <c r="AQ113" s="27">
        <f t="shared" si="423"/>
        <v>-27858.5</v>
      </c>
      <c r="AR113" s="27">
        <f t="shared" si="423"/>
        <v>-30358.875</v>
      </c>
      <c r="AS113" s="27">
        <f t="shared" si="423"/>
        <v>-33090.5</v>
      </c>
      <c r="AT113" s="27">
        <f t="shared" si="423"/>
        <v>-36071.25</v>
      </c>
      <c r="AU113" s="27">
        <f t="shared" si="423"/>
        <v>-39329.125</v>
      </c>
      <c r="AV113" s="27">
        <f t="shared" si="423"/>
        <v>-42889.25</v>
      </c>
      <c r="AW113" s="27">
        <f t="shared" si="423"/>
        <v>-46779.875</v>
      </c>
      <c r="AX113" s="27">
        <f t="shared" si="423"/>
        <v>-51033.5</v>
      </c>
      <c r="AY113" s="27">
        <f t="shared" si="423"/>
        <v>-55682.75</v>
      </c>
      <c r="AZ113" s="27">
        <f t="shared" si="423"/>
        <v>-60763.25</v>
      </c>
      <c r="BA113" s="27">
        <f t="shared" si="423"/>
        <v>-66318</v>
      </c>
      <c r="BB113" s="27">
        <f t="shared" si="423"/>
        <v>-72392.875</v>
      </c>
      <c r="BC113" s="27">
        <f t="shared" si="423"/>
        <v>-79036.875</v>
      </c>
      <c r="BD113" s="27">
        <f t="shared" si="423"/>
        <v>-86305</v>
      </c>
      <c r="BE113" s="27">
        <f t="shared" si="423"/>
        <v>-94252.25</v>
      </c>
      <c r="BF113" s="27">
        <f t="shared" si="423"/>
        <v>-102948.125</v>
      </c>
      <c r="BG113" s="27">
        <f t="shared" si="423"/>
        <v>-112462.625</v>
      </c>
      <c r="BH113" s="27">
        <f t="shared" si="423"/>
        <v>-122874.5</v>
      </c>
      <c r="BI113" s="27">
        <f t="shared" si="423"/>
        <v>-134268.375</v>
      </c>
      <c r="BJ113" s="27">
        <f t="shared" si="423"/>
        <v>-146740.875</v>
      </c>
      <c r="BK113" s="27">
        <f t="shared" si="423"/>
        <v>-160393.125</v>
      </c>
      <c r="BL113" s="27">
        <f t="shared" si="423"/>
        <v>-175336.75</v>
      </c>
      <c r="BM113" s="27">
        <f t="shared" si="423"/>
        <v>-191696.625</v>
      </c>
      <c r="BN113" s="27">
        <f t="shared" si="423"/>
        <v>-209611</v>
      </c>
    </row>
    <row r="114" spans="2:66" x14ac:dyDescent="0.3">
      <c r="C114" s="44" t="s">
        <v>54</v>
      </c>
      <c r="D114" s="11"/>
      <c r="E114" s="11"/>
      <c r="F114" s="11"/>
      <c r="G114" s="55">
        <f>SUM(G109:G113)</f>
        <v>-88421.25</v>
      </c>
      <c r="H114" s="55">
        <f t="shared" ref="H114:AD114" si="424">SUM(H109:H113)</f>
        <v>-90538.5</v>
      </c>
      <c r="I114" s="55">
        <f t="shared" si="424"/>
        <v>-92760.75</v>
      </c>
      <c r="J114" s="55">
        <f t="shared" si="424"/>
        <v>-112086</v>
      </c>
      <c r="K114" s="55">
        <f t="shared" si="424"/>
        <v>-114637</v>
      </c>
      <c r="L114" s="55">
        <f t="shared" si="424"/>
        <v>-117299.75</v>
      </c>
      <c r="M114" s="55">
        <f t="shared" si="424"/>
        <v>-142938.01</v>
      </c>
      <c r="N114" s="55">
        <f t="shared" si="424"/>
        <v>-146017.09</v>
      </c>
      <c r="O114" s="55">
        <f t="shared" si="424"/>
        <v>-149308.16999999998</v>
      </c>
      <c r="P114" s="55">
        <f t="shared" si="424"/>
        <v>-187380.5821</v>
      </c>
      <c r="Q114" s="55">
        <f t="shared" si="424"/>
        <v>-191067.8118</v>
      </c>
      <c r="R114" s="55">
        <f t="shared" si="424"/>
        <v>-201152.05109999998</v>
      </c>
      <c r="S114" s="55">
        <f t="shared" si="424"/>
        <v>-225921.03856300001</v>
      </c>
      <c r="T114" s="55">
        <f t="shared" si="424"/>
        <v>-230496.18312100001</v>
      </c>
      <c r="U114" s="55">
        <f t="shared" si="424"/>
        <v>-235370.679554</v>
      </c>
      <c r="V114" s="55">
        <f t="shared" si="424"/>
        <v>-281831.67763128004</v>
      </c>
      <c r="W114" s="55">
        <f t="shared" si="424"/>
        <v>-287547.76005032001</v>
      </c>
      <c r="X114" s="55">
        <f t="shared" si="424"/>
        <v>-293568.72675060999</v>
      </c>
      <c r="Y114" s="55">
        <f t="shared" si="424"/>
        <v>-323253.1623036713</v>
      </c>
      <c r="Z114" s="55">
        <f t="shared" si="424"/>
        <v>-348225.34896961169</v>
      </c>
      <c r="AA114" s="55">
        <f t="shared" si="424"/>
        <v>-355827.67598185042</v>
      </c>
      <c r="AB114" s="55">
        <f t="shared" si="424"/>
        <v>-387437.36537147267</v>
      </c>
      <c r="AC114" s="55">
        <f t="shared" si="424"/>
        <v>-414156.27035860042</v>
      </c>
      <c r="AD114" s="55">
        <f t="shared" si="424"/>
        <v>-444058.27429234062</v>
      </c>
      <c r="AE114" s="55">
        <f t="shared" ref="AE114:BN114" si="425">SUM(AE109:AE113)</f>
        <v>-469576.96375509218</v>
      </c>
      <c r="AF114" s="55">
        <f t="shared" si="425"/>
        <v>-504380.87903131562</v>
      </c>
      <c r="AG114" s="55">
        <f t="shared" si="425"/>
        <v>-522096.87136758678</v>
      </c>
      <c r="AH114" s="55">
        <f t="shared" si="425"/>
        <v>-574751.85958239355</v>
      </c>
      <c r="AI114" s="55">
        <f t="shared" si="425"/>
        <v>-588121.41169868584</v>
      </c>
      <c r="AJ114" s="55">
        <f t="shared" si="425"/>
        <v>-626759.60553010949</v>
      </c>
      <c r="AK114" s="55">
        <f t="shared" si="425"/>
        <v>-679797.48606991582</v>
      </c>
      <c r="AL114" s="55">
        <f t="shared" si="425"/>
        <v>-703876.46595194901</v>
      </c>
      <c r="AM114" s="55">
        <f t="shared" si="425"/>
        <v>-752035.89458752144</v>
      </c>
      <c r="AN114" s="55">
        <f t="shared" si="425"/>
        <v>-807558.46327952784</v>
      </c>
      <c r="AO114" s="55">
        <f t="shared" si="425"/>
        <v>-853883.05531034002</v>
      </c>
      <c r="AP114" s="55">
        <f t="shared" si="425"/>
        <v>-907116.89809616795</v>
      </c>
      <c r="AQ114" s="55">
        <f t="shared" si="425"/>
        <v>-964913.96896383772</v>
      </c>
      <c r="AR114" s="55">
        <f t="shared" si="425"/>
        <v>-1023016.5781863851</v>
      </c>
      <c r="AS114" s="55">
        <f t="shared" si="425"/>
        <v>-1082071.0010709851</v>
      </c>
      <c r="AT114" s="55">
        <f t="shared" si="425"/>
        <v>-1169596.7091558338</v>
      </c>
      <c r="AU114" s="55">
        <f t="shared" si="425"/>
        <v>-1238426.1430192916</v>
      </c>
      <c r="AV114" s="55">
        <f t="shared" si="425"/>
        <v>-1324217.8642630163</v>
      </c>
      <c r="AW114" s="55">
        <f t="shared" si="425"/>
        <v>-1422439.7611184076</v>
      </c>
      <c r="AX114" s="55">
        <f t="shared" si="425"/>
        <v>-1518250.793949195</v>
      </c>
      <c r="AY114" s="55">
        <f t="shared" si="425"/>
        <v>-1619700.3204551088</v>
      </c>
      <c r="AZ114" s="55">
        <f t="shared" si="425"/>
        <v>-1747880.0262663995</v>
      </c>
      <c r="BA114" s="55">
        <f t="shared" si="425"/>
        <v>-1861721.6293519116</v>
      </c>
      <c r="BB114" s="55">
        <f t="shared" si="425"/>
        <v>-1998827.3779834416</v>
      </c>
      <c r="BC114" s="55">
        <f t="shared" si="425"/>
        <v>-2140568.5036341595</v>
      </c>
      <c r="BD114" s="55">
        <f t="shared" si="425"/>
        <v>-2310331.6594797503</v>
      </c>
      <c r="BE114" s="55">
        <f t="shared" si="425"/>
        <v>-2486026.9224574589</v>
      </c>
      <c r="BF114" s="55">
        <f t="shared" si="425"/>
        <v>-2669544.4597764215</v>
      </c>
      <c r="BG114" s="55">
        <f t="shared" si="425"/>
        <v>-2862660.8222660888</v>
      </c>
      <c r="BH114" s="55">
        <f t="shared" si="425"/>
        <v>-3094530.8643479943</v>
      </c>
      <c r="BI114" s="55">
        <f t="shared" si="425"/>
        <v>-3332839.9996968196</v>
      </c>
      <c r="BJ114" s="55">
        <f t="shared" si="425"/>
        <v>-3596943.7826816258</v>
      </c>
      <c r="BK114" s="55">
        <f t="shared" si="425"/>
        <v>-3882864.1741276206</v>
      </c>
      <c r="BL114" s="55">
        <f t="shared" si="425"/>
        <v>-4186845.909500448</v>
      </c>
      <c r="BM114" s="55">
        <f t="shared" si="425"/>
        <v>-4538782.8268813528</v>
      </c>
      <c r="BN114" s="55">
        <f t="shared" si="425"/>
        <v>-4904532.3233186174</v>
      </c>
    </row>
    <row r="115" spans="2:66" ht="3" customHeight="1" x14ac:dyDescent="0.3"/>
    <row r="116" spans="2:66" x14ac:dyDescent="0.3">
      <c r="C116" s="35" t="s">
        <v>150</v>
      </c>
      <c r="D116" s="47"/>
      <c r="E116" s="47"/>
      <c r="F116" s="40"/>
      <c r="G116" s="40">
        <f t="shared" ref="G116:AL116" si="426">G45+G114</f>
        <v>-84882.75</v>
      </c>
      <c r="H116" s="40">
        <f t="shared" si="426"/>
        <v>-83495.100000000006</v>
      </c>
      <c r="I116" s="40">
        <f t="shared" si="426"/>
        <v>-82170.45</v>
      </c>
      <c r="J116" s="40">
        <f t="shared" si="426"/>
        <v>-97906.8</v>
      </c>
      <c r="K116" s="40">
        <f t="shared" si="426"/>
        <v>-96753.4</v>
      </c>
      <c r="L116" s="40">
        <f t="shared" si="426"/>
        <v>-95571.05</v>
      </c>
      <c r="M116" s="40">
        <f t="shared" si="426"/>
        <v>-117173.11000000002</v>
      </c>
      <c r="N116" s="40">
        <f t="shared" si="426"/>
        <v>-116001.79</v>
      </c>
      <c r="O116" s="40">
        <f t="shared" si="426"/>
        <v>-114777.86999999998</v>
      </c>
      <c r="P116" s="40">
        <f t="shared" si="426"/>
        <v>-148047.5821</v>
      </c>
      <c r="Q116" s="40">
        <f t="shared" si="426"/>
        <v>-146619.21179999999</v>
      </c>
      <c r="R116" s="40">
        <f t="shared" si="426"/>
        <v>-151226.65109999999</v>
      </c>
      <c r="S116" s="40">
        <f t="shared" si="426"/>
        <v>-170191.17606299999</v>
      </c>
      <c r="T116" s="40">
        <f t="shared" si="426"/>
        <v>-168842.87062100001</v>
      </c>
      <c r="U116" s="40">
        <f t="shared" si="426"/>
        <v>-167329.16705400002</v>
      </c>
      <c r="V116" s="40">
        <f t="shared" si="426"/>
        <v>-206863.27763128004</v>
      </c>
      <c r="W116" s="40">
        <f t="shared" si="426"/>
        <v>-205088.43505032</v>
      </c>
      <c r="X116" s="40">
        <f t="shared" si="426"/>
        <v>-203003.73925061</v>
      </c>
      <c r="Y116" s="40">
        <f t="shared" si="426"/>
        <v>-223893.83730367129</v>
      </c>
      <c r="Z116" s="40">
        <f t="shared" si="426"/>
        <v>-239309.07396961169</v>
      </c>
      <c r="AA116" s="40">
        <f t="shared" si="426"/>
        <v>-236543.25098185043</v>
      </c>
      <c r="AB116" s="40">
        <f t="shared" si="426"/>
        <v>-256848.95287147266</v>
      </c>
      <c r="AC116" s="40">
        <f t="shared" si="426"/>
        <v>-271277.33285860042</v>
      </c>
      <c r="AD116" s="40">
        <f t="shared" si="426"/>
        <v>-287853.6867923406</v>
      </c>
      <c r="AE116" s="40">
        <f t="shared" si="426"/>
        <v>-298669.58875509218</v>
      </c>
      <c r="AF116" s="40">
        <f t="shared" si="426"/>
        <v>-318475.25403131562</v>
      </c>
      <c r="AG116" s="40">
        <f t="shared" si="426"/>
        <v>-319847.87136758678</v>
      </c>
      <c r="AH116" s="40">
        <f t="shared" si="426"/>
        <v>-354663.48458239355</v>
      </c>
      <c r="AI116" s="40">
        <f t="shared" si="426"/>
        <v>-348623.28669868584</v>
      </c>
      <c r="AJ116" s="40">
        <f t="shared" si="426"/>
        <v>-366081.60553010949</v>
      </c>
      <c r="AK116" s="40">
        <f t="shared" si="426"/>
        <v>-396018.61106991582</v>
      </c>
      <c r="AL116" s="40">
        <f t="shared" si="426"/>
        <v>-394922.71595194901</v>
      </c>
      <c r="AM116" s="40">
        <f t="shared" ref="AM116:BN116" si="427">AM45+AM114</f>
        <v>-415633.51958752144</v>
      </c>
      <c r="AN116" s="40">
        <f t="shared" si="427"/>
        <v>-441233.96327952784</v>
      </c>
      <c r="AO116" s="40">
        <f t="shared" si="427"/>
        <v>-454863.30531034002</v>
      </c>
      <c r="AP116" s="40">
        <f t="shared" si="427"/>
        <v>-472424.77309616795</v>
      </c>
      <c r="AQ116" s="40">
        <f t="shared" si="427"/>
        <v>-488533.61896383774</v>
      </c>
      <c r="AR116" s="40">
        <f t="shared" si="427"/>
        <v>-503879.81568638509</v>
      </c>
      <c r="AS116" s="40">
        <f t="shared" si="427"/>
        <v>-516223.45107098506</v>
      </c>
      <c r="AT116" s="40">
        <f t="shared" si="427"/>
        <v>-552778.33415583381</v>
      </c>
      <c r="AU116" s="40">
        <f t="shared" si="427"/>
        <v>-565898.1055192916</v>
      </c>
      <c r="AV116" s="40">
        <f t="shared" si="427"/>
        <v>-590811.68926301622</v>
      </c>
      <c r="AW116" s="40">
        <f t="shared" si="427"/>
        <v>-622503.89861840755</v>
      </c>
      <c r="AX116" s="40">
        <f t="shared" si="427"/>
        <v>-645577.94394919497</v>
      </c>
      <c r="AY116" s="40">
        <f t="shared" si="427"/>
        <v>-667525.29545510875</v>
      </c>
      <c r="AZ116" s="40">
        <f t="shared" si="427"/>
        <v>-708828.45126639958</v>
      </c>
      <c r="BA116" s="40">
        <f t="shared" si="427"/>
        <v>-727683.82935191155</v>
      </c>
      <c r="BB116" s="40">
        <f t="shared" si="427"/>
        <v>-760909.21548344148</v>
      </c>
      <c r="BC116" s="40">
        <f t="shared" si="427"/>
        <v>-781134.25363415945</v>
      </c>
      <c r="BD116" s="40">
        <f t="shared" si="427"/>
        <v>-825885.65947975032</v>
      </c>
      <c r="BE116" s="40">
        <f t="shared" si="427"/>
        <v>-864888.22245745896</v>
      </c>
      <c r="BF116" s="40">
        <f t="shared" si="427"/>
        <v>-898836.70977642154</v>
      </c>
      <c r="BG116" s="40">
        <f t="shared" si="427"/>
        <v>-928303.67226608889</v>
      </c>
      <c r="BH116" s="40">
        <f t="shared" si="427"/>
        <v>-981089.46434799442</v>
      </c>
      <c r="BI116" s="40">
        <f t="shared" si="427"/>
        <v>-1023423.9496968198</v>
      </c>
      <c r="BJ116" s="40">
        <f t="shared" si="427"/>
        <v>-1073000.732681626</v>
      </c>
      <c r="BK116" s="40">
        <f t="shared" si="427"/>
        <v>-1124102.4241276206</v>
      </c>
      <c r="BL116" s="40">
        <f t="shared" si="427"/>
        <v>-1171053.8095004479</v>
      </c>
      <c r="BM116" s="40">
        <f t="shared" si="427"/>
        <v>-1241600.8768813526</v>
      </c>
      <c r="BN116" s="40">
        <f t="shared" si="427"/>
        <v>-1299223.1233186172</v>
      </c>
    </row>
    <row r="117" spans="2:66" x14ac:dyDescent="0.3">
      <c r="C117" s="25" t="s">
        <v>73</v>
      </c>
      <c r="G117" s="69">
        <f>G116/G$35</f>
        <v>-20.150207715133533</v>
      </c>
      <c r="H117" s="69">
        <f t="shared" ref="H117:AD117" si="428">H116/H$35</f>
        <v>-9.9576744186046522</v>
      </c>
      <c r="I117" s="69">
        <f t="shared" si="428"/>
        <v>-6.5175847709696608</v>
      </c>
      <c r="J117" s="69">
        <f t="shared" si="428"/>
        <v>-5.8001658767772515</v>
      </c>
      <c r="K117" s="69">
        <f t="shared" si="428"/>
        <v>-4.5445467355565992</v>
      </c>
      <c r="L117" s="69">
        <f t="shared" si="428"/>
        <v>-3.6946380593408721</v>
      </c>
      <c r="M117" s="69">
        <f t="shared" si="428"/>
        <v>-3.8201356263754183</v>
      </c>
      <c r="N117" s="69">
        <f t="shared" si="428"/>
        <v>-3.2463944588259985</v>
      </c>
      <c r="O117" s="69">
        <f t="shared" si="428"/>
        <v>-2.7921393906221486</v>
      </c>
      <c r="P117" s="69">
        <f t="shared" si="428"/>
        <v>-3.1617209204484782</v>
      </c>
      <c r="Q117" s="69">
        <f t="shared" si="428"/>
        <v>-2.7708440291032788</v>
      </c>
      <c r="R117" s="69">
        <f t="shared" si="428"/>
        <v>-2.5444039892319337</v>
      </c>
      <c r="S117" s="69">
        <f t="shared" si="428"/>
        <v>-2.5805113689852544</v>
      </c>
      <c r="T117" s="69">
        <f t="shared" si="428"/>
        <v>-2.3141047883638857</v>
      </c>
      <c r="U117" s="69">
        <f t="shared" si="428"/>
        <v>-2.0780423739203329</v>
      </c>
      <c r="V117" s="69">
        <f t="shared" si="428"/>
        <v>-2.3316419931388643</v>
      </c>
      <c r="W117" s="69">
        <f t="shared" si="428"/>
        <v>-2.1016389306791003</v>
      </c>
      <c r="X117" s="69">
        <f t="shared" si="428"/>
        <v>-1.8940891441824077</v>
      </c>
      <c r="Y117" s="69">
        <f t="shared" si="428"/>
        <v>-1.904102030902507</v>
      </c>
      <c r="Z117" s="69">
        <f t="shared" si="428"/>
        <v>-1.8566203031119259</v>
      </c>
      <c r="AA117" s="69">
        <f t="shared" si="428"/>
        <v>-1.6756508410856121</v>
      </c>
      <c r="AB117" s="69">
        <f t="shared" si="428"/>
        <v>-1.6619955861427935</v>
      </c>
      <c r="AC117" s="69">
        <f t="shared" si="428"/>
        <v>-1.604360658585646</v>
      </c>
      <c r="AD117" s="69">
        <f t="shared" si="428"/>
        <v>-1.5571653126994609</v>
      </c>
      <c r="AE117" s="69">
        <f t="shared" ref="AE117:BN117" si="429">AE116/AE$35</f>
        <v>-1.4854195171029241</v>
      </c>
      <c r="AF117" s="69">
        <f t="shared" si="429"/>
        <v>-1.4561364989715522</v>
      </c>
      <c r="AG117" s="69">
        <f t="shared" si="429"/>
        <v>-1.3442375025955569</v>
      </c>
      <c r="AH117" s="69">
        <f t="shared" si="429"/>
        <v>-1.3697405048996092</v>
      </c>
      <c r="AI117" s="69">
        <f t="shared" si="429"/>
        <v>-1.2372948376689086</v>
      </c>
      <c r="AJ117" s="69">
        <f t="shared" si="429"/>
        <v>-1.1936924661866097</v>
      </c>
      <c r="AK117" s="69">
        <f t="shared" si="429"/>
        <v>-1.1861905485721178</v>
      </c>
      <c r="AL117" s="69">
        <f t="shared" si="429"/>
        <v>-1.0865196119456606</v>
      </c>
      <c r="AM117" s="69">
        <f t="shared" si="429"/>
        <v>-1.0501961873764809</v>
      </c>
      <c r="AN117" s="69">
        <f t="shared" si="429"/>
        <v>-1.0238159576757728</v>
      </c>
      <c r="AO117" s="69">
        <f t="shared" si="429"/>
        <v>-0.96895907912776003</v>
      </c>
      <c r="AP117" s="69">
        <f t="shared" si="429"/>
        <v>-0.92378268212644232</v>
      </c>
      <c r="AQ117" s="69">
        <f t="shared" si="429"/>
        <v>-0.876812497018572</v>
      </c>
      <c r="AR117" s="69">
        <f t="shared" si="429"/>
        <v>-0.82987234488495554</v>
      </c>
      <c r="AS117" s="69">
        <f t="shared" si="429"/>
        <v>-0.7800176048578672</v>
      </c>
      <c r="AT117" s="69">
        <f t="shared" si="429"/>
        <v>-0.76623118710307214</v>
      </c>
      <c r="AU117" s="69">
        <f t="shared" si="429"/>
        <v>-0.71943897241458032</v>
      </c>
      <c r="AV117" s="69">
        <f t="shared" si="429"/>
        <v>-0.68876430488177831</v>
      </c>
      <c r="AW117" s="69">
        <f t="shared" si="429"/>
        <v>-0.66535438435695649</v>
      </c>
      <c r="AX117" s="69">
        <f t="shared" si="429"/>
        <v>-0.6325040845221227</v>
      </c>
      <c r="AY117" s="69">
        <f t="shared" si="429"/>
        <v>-0.59940043860541081</v>
      </c>
      <c r="AZ117" s="69">
        <f t="shared" si="429"/>
        <v>-0.58327068685957351</v>
      </c>
      <c r="BA117" s="69">
        <f t="shared" si="429"/>
        <v>-0.54863221851677646</v>
      </c>
      <c r="BB117" s="69">
        <f t="shared" si="429"/>
        <v>-0.52554150908044572</v>
      </c>
      <c r="BC117" s="69">
        <f t="shared" si="429"/>
        <v>-0.49415810887902606</v>
      </c>
      <c r="BD117" s="69">
        <f t="shared" si="429"/>
        <v>-0.47846918456621884</v>
      </c>
      <c r="BE117" s="69">
        <f t="shared" si="429"/>
        <v>-0.45881569005379658</v>
      </c>
      <c r="BF117" s="69">
        <f t="shared" si="429"/>
        <v>-0.43654836344830056</v>
      </c>
      <c r="BG117" s="69">
        <f t="shared" si="429"/>
        <v>-0.41271652349662341</v>
      </c>
      <c r="BH117" s="69">
        <f t="shared" si="429"/>
        <v>-0.39922419393283165</v>
      </c>
      <c r="BI117" s="69">
        <f t="shared" si="429"/>
        <v>-0.38111131891512789</v>
      </c>
      <c r="BJ117" s="69">
        <f t="shared" si="429"/>
        <v>-0.36561071776409471</v>
      </c>
      <c r="BK117" s="69">
        <f t="shared" si="429"/>
        <v>-0.35042101216234195</v>
      </c>
      <c r="BL117" s="69">
        <f t="shared" si="429"/>
        <v>-0.33394419866355685</v>
      </c>
      <c r="BM117" s="69">
        <f t="shared" si="429"/>
        <v>-0.32384526250301815</v>
      </c>
      <c r="BN117" s="69">
        <f t="shared" si="429"/>
        <v>-0.30991291566726392</v>
      </c>
    </row>
    <row r="119" spans="2:66" x14ac:dyDescent="0.3">
      <c r="B119" s="22" t="s">
        <v>0</v>
      </c>
      <c r="C119" s="4" t="s">
        <v>101</v>
      </c>
    </row>
    <row r="120" spans="2:66" ht="3" customHeight="1" x14ac:dyDescent="0.3"/>
    <row r="121" spans="2:66" x14ac:dyDescent="0.3">
      <c r="C121" s="23" t="s">
        <v>102</v>
      </c>
      <c r="E121" s="63"/>
    </row>
    <row r="122" spans="2:66" ht="3" customHeight="1" x14ac:dyDescent="0.3">
      <c r="C122" s="23"/>
    </row>
    <row r="123" spans="2:66" x14ac:dyDescent="0.3">
      <c r="C123" t="s">
        <v>103</v>
      </c>
      <c r="G123" s="37">
        <f>F125</f>
        <v>0</v>
      </c>
      <c r="H123" s="37">
        <f t="shared" ref="H123:M123" si="430">G125</f>
        <v>84882.75</v>
      </c>
      <c r="I123" s="37">
        <f t="shared" si="430"/>
        <v>168377.85</v>
      </c>
      <c r="J123" s="37">
        <f t="shared" si="430"/>
        <v>250548.3</v>
      </c>
      <c r="K123" s="37">
        <f t="shared" si="430"/>
        <v>348455.1</v>
      </c>
      <c r="L123" s="37">
        <f t="shared" si="430"/>
        <v>445208.5</v>
      </c>
      <c r="M123" s="37">
        <f t="shared" si="430"/>
        <v>540779.55000000005</v>
      </c>
      <c r="N123" s="37">
        <f t="shared" ref="N123:AD123" si="431">M125</f>
        <v>657952.66</v>
      </c>
      <c r="O123" s="37">
        <f t="shared" si="431"/>
        <v>773954.45000000007</v>
      </c>
      <c r="P123" s="37">
        <f t="shared" si="431"/>
        <v>888732.32000000007</v>
      </c>
      <c r="Q123" s="37">
        <f t="shared" si="431"/>
        <v>1036779.9021000001</v>
      </c>
      <c r="R123" s="37">
        <f t="shared" si="431"/>
        <v>1183399.1139</v>
      </c>
      <c r="S123" s="37">
        <f t="shared" si="431"/>
        <v>1334625.7649999999</v>
      </c>
      <c r="T123" s="37">
        <f t="shared" si="431"/>
        <v>1504816.9410629999</v>
      </c>
      <c r="U123" s="37">
        <f t="shared" si="431"/>
        <v>1673659.8116839998</v>
      </c>
      <c r="V123" s="37">
        <f t="shared" si="431"/>
        <v>1840988.9787379999</v>
      </c>
      <c r="W123" s="37">
        <f t="shared" si="431"/>
        <v>2047852.2563692799</v>
      </c>
      <c r="X123" s="37">
        <f t="shared" si="431"/>
        <v>2252940.6914196</v>
      </c>
      <c r="Y123" s="37">
        <f t="shared" si="431"/>
        <v>2455944.4306702102</v>
      </c>
      <c r="Z123" s="37">
        <f t="shared" si="431"/>
        <v>2679838.2679738812</v>
      </c>
      <c r="AA123" s="37">
        <f t="shared" si="431"/>
        <v>2919147.3419434931</v>
      </c>
      <c r="AB123" s="37">
        <f t="shared" si="431"/>
        <v>3155690.5929253437</v>
      </c>
      <c r="AC123" s="37">
        <f t="shared" si="431"/>
        <v>3412539.5457968162</v>
      </c>
      <c r="AD123" s="37">
        <f t="shared" si="431"/>
        <v>3683816.8786554169</v>
      </c>
      <c r="AE123" s="37">
        <f t="shared" ref="AE123" si="432">AD125</f>
        <v>3971670.5654477575</v>
      </c>
      <c r="AF123" s="37">
        <f t="shared" ref="AF123" si="433">AE125</f>
        <v>4270340.1542028496</v>
      </c>
      <c r="AG123" s="37">
        <f t="shared" ref="AG123" si="434">AF125</f>
        <v>4588815.4082341651</v>
      </c>
      <c r="AH123" s="37">
        <f t="shared" ref="AH123" si="435">AG125</f>
        <v>4908663.2796017518</v>
      </c>
      <c r="AI123" s="37">
        <f t="shared" ref="AI123" si="436">AH125</f>
        <v>5263326.7641841453</v>
      </c>
      <c r="AJ123" s="37">
        <f t="shared" ref="AJ123" si="437">AI125</f>
        <v>5611950.0508828312</v>
      </c>
      <c r="AK123" s="37">
        <f t="shared" ref="AK123" si="438">AJ125</f>
        <v>5978031.6564129405</v>
      </c>
      <c r="AL123" s="37">
        <f t="shared" ref="AL123" si="439">AK125</f>
        <v>6374050.2674828563</v>
      </c>
      <c r="AM123" s="37">
        <f t="shared" ref="AM123" si="440">AL125</f>
        <v>6768972.9834348056</v>
      </c>
      <c r="AN123" s="37">
        <f t="shared" ref="AN123" si="441">AM125</f>
        <v>7184606.5030223271</v>
      </c>
      <c r="AO123" s="37">
        <f t="shared" ref="AO123" si="442">AN125</f>
        <v>7625840.4663018547</v>
      </c>
      <c r="AP123" s="37">
        <f t="shared" ref="AP123" si="443">AO125</f>
        <v>8080703.7716121944</v>
      </c>
      <c r="AQ123" s="37">
        <f t="shared" ref="AQ123" si="444">AP125</f>
        <v>8553128.5447083618</v>
      </c>
      <c r="AR123" s="37">
        <f t="shared" ref="AR123" si="445">AQ125</f>
        <v>9041662.1636721995</v>
      </c>
      <c r="AS123" s="37">
        <f t="shared" ref="AS123" si="446">AR125</f>
        <v>9545541.9793585837</v>
      </c>
      <c r="AT123" s="37">
        <f t="shared" ref="AT123" si="447">AS125</f>
        <v>10061765.430429569</v>
      </c>
      <c r="AU123" s="37">
        <f t="shared" ref="AU123" si="448">AT125</f>
        <v>10614543.764585402</v>
      </c>
      <c r="AV123" s="37">
        <f t="shared" ref="AV123" si="449">AU125</f>
        <v>11180441.870104693</v>
      </c>
      <c r="AW123" s="37">
        <f t="shared" ref="AW123" si="450">AV125</f>
        <v>11771253.559367709</v>
      </c>
      <c r="AX123" s="37">
        <f t="shared" ref="AX123" si="451">AW125</f>
        <v>12393757.457986116</v>
      </c>
      <c r="AY123" s="37">
        <f t="shared" ref="AY123" si="452">AX125</f>
        <v>13039335.401935311</v>
      </c>
      <c r="AZ123" s="37">
        <f t="shared" ref="AZ123" si="453">AY125</f>
        <v>13706860.69739042</v>
      </c>
      <c r="BA123" s="37">
        <f t="shared" ref="BA123" si="454">AZ125</f>
        <v>14415689.148656819</v>
      </c>
      <c r="BB123" s="37">
        <f t="shared" ref="BB123" si="455">BA125</f>
        <v>15143372.97800873</v>
      </c>
      <c r="BC123" s="37">
        <f t="shared" ref="BC123" si="456">BB125</f>
        <v>15904282.193492172</v>
      </c>
      <c r="BD123" s="37">
        <f t="shared" ref="BD123" si="457">BC125</f>
        <v>16685416.447126333</v>
      </c>
      <c r="BE123" s="37">
        <f t="shared" ref="BE123" si="458">BD125</f>
        <v>17511302.106606081</v>
      </c>
      <c r="BF123" s="37">
        <f t="shared" ref="BF123" si="459">BE125</f>
        <v>18376190.329063538</v>
      </c>
      <c r="BG123" s="37">
        <f t="shared" ref="BG123" si="460">BF125</f>
        <v>19275027.038839959</v>
      </c>
      <c r="BH123" s="37">
        <f t="shared" ref="BH123" si="461">BG125</f>
        <v>20203330.711106047</v>
      </c>
      <c r="BI123" s="37">
        <f t="shared" ref="BI123" si="462">BH125</f>
        <v>21184420.175454043</v>
      </c>
      <c r="BJ123" s="37">
        <f t="shared" ref="BJ123" si="463">BI125</f>
        <v>22207844.125150863</v>
      </c>
      <c r="BK123" s="37">
        <f t="shared" ref="BK123" si="464">BJ125</f>
        <v>23280844.857832488</v>
      </c>
      <c r="BL123" s="37">
        <f t="shared" ref="BL123" si="465">BK125</f>
        <v>24404947.281960107</v>
      </c>
      <c r="BM123" s="37">
        <f t="shared" ref="BM123" si="466">BL125</f>
        <v>25576001.091460556</v>
      </c>
      <c r="BN123" s="37">
        <f t="shared" ref="BN123" si="467">BM125</f>
        <v>26817601.968341909</v>
      </c>
    </row>
    <row r="124" spans="2:66" x14ac:dyDescent="0.3">
      <c r="C124" t="s">
        <v>104</v>
      </c>
      <c r="G124" s="37">
        <f>-IF(G116&lt;0,0,MIN(G123, G116))</f>
        <v>0</v>
      </c>
      <c r="H124" s="37">
        <f t="shared" ref="H124:M124" si="468">-IF(H116&lt;0,0,MIN(H123, H116))</f>
        <v>0</v>
      </c>
      <c r="I124" s="37">
        <f t="shared" si="468"/>
        <v>0</v>
      </c>
      <c r="J124" s="37">
        <f t="shared" si="468"/>
        <v>0</v>
      </c>
      <c r="K124" s="37">
        <f t="shared" si="468"/>
        <v>0</v>
      </c>
      <c r="L124" s="37">
        <f t="shared" si="468"/>
        <v>0</v>
      </c>
      <c r="M124" s="37">
        <f t="shared" si="468"/>
        <v>0</v>
      </c>
      <c r="N124" s="37">
        <f t="shared" ref="N124" si="469">-IF(N116&lt;0,0,MIN(N123, N116))</f>
        <v>0</v>
      </c>
      <c r="O124" s="37">
        <f t="shared" ref="O124" si="470">-IF(O116&lt;0,0,MIN(O123, O116))</f>
        <v>0</v>
      </c>
      <c r="P124" s="37">
        <f t="shared" ref="P124" si="471">-IF(P116&lt;0,0,MIN(P123, P116))</f>
        <v>0</v>
      </c>
      <c r="Q124" s="37">
        <f t="shared" ref="Q124" si="472">-IF(Q116&lt;0,0,MIN(Q123, Q116))</f>
        <v>0</v>
      </c>
      <c r="R124" s="37">
        <f t="shared" ref="R124" si="473">-IF(R116&lt;0,0,MIN(R123, R116))</f>
        <v>0</v>
      </c>
      <c r="S124" s="37">
        <f t="shared" ref="S124" si="474">-IF(S116&lt;0,0,MIN(S123, S116))</f>
        <v>0</v>
      </c>
      <c r="T124" s="37">
        <f t="shared" ref="T124" si="475">-IF(T116&lt;0,0,MIN(T123, T116))</f>
        <v>0</v>
      </c>
      <c r="U124" s="37">
        <f t="shared" ref="U124" si="476">-IF(U116&lt;0,0,MIN(U123, U116))</f>
        <v>0</v>
      </c>
      <c r="V124" s="37">
        <f t="shared" ref="V124" si="477">-IF(V116&lt;0,0,MIN(V123, V116))</f>
        <v>0</v>
      </c>
      <c r="W124" s="37">
        <f t="shared" ref="W124" si="478">-IF(W116&lt;0,0,MIN(W123, W116))</f>
        <v>0</v>
      </c>
      <c r="X124" s="37">
        <f t="shared" ref="X124" si="479">-IF(X116&lt;0,0,MIN(X123, X116))</f>
        <v>0</v>
      </c>
      <c r="Y124" s="37">
        <f t="shared" ref="Y124" si="480">-IF(Y116&lt;0,0,MIN(Y123, Y116))</f>
        <v>0</v>
      </c>
      <c r="Z124" s="37">
        <f t="shared" ref="Z124" si="481">-IF(Z116&lt;0,0,MIN(Z123, Z116))</f>
        <v>0</v>
      </c>
      <c r="AA124" s="37">
        <f t="shared" ref="AA124" si="482">-IF(AA116&lt;0,0,MIN(AA123, AA116))</f>
        <v>0</v>
      </c>
      <c r="AB124" s="37">
        <f t="shared" ref="AB124" si="483">-IF(AB116&lt;0,0,MIN(AB123, AB116))</f>
        <v>0</v>
      </c>
      <c r="AC124" s="37">
        <f t="shared" ref="AC124" si="484">-IF(AC116&lt;0,0,MIN(AC123, AC116))</f>
        <v>0</v>
      </c>
      <c r="AD124" s="37">
        <f t="shared" ref="AD124" si="485">-IF(AD116&lt;0,0,MIN(AD123, AD116))</f>
        <v>0</v>
      </c>
      <c r="AE124" s="37">
        <f t="shared" ref="AE124:BN124" si="486">-IF(AE116&lt;0,0,MIN(AE123, AE116))</f>
        <v>0</v>
      </c>
      <c r="AF124" s="37">
        <f t="shared" si="486"/>
        <v>0</v>
      </c>
      <c r="AG124" s="37">
        <f t="shared" si="486"/>
        <v>0</v>
      </c>
      <c r="AH124" s="37">
        <f t="shared" si="486"/>
        <v>0</v>
      </c>
      <c r="AI124" s="37">
        <f t="shared" si="486"/>
        <v>0</v>
      </c>
      <c r="AJ124" s="37">
        <f t="shared" si="486"/>
        <v>0</v>
      </c>
      <c r="AK124" s="37">
        <f t="shared" si="486"/>
        <v>0</v>
      </c>
      <c r="AL124" s="37">
        <f t="shared" si="486"/>
        <v>0</v>
      </c>
      <c r="AM124" s="37">
        <f t="shared" si="486"/>
        <v>0</v>
      </c>
      <c r="AN124" s="37">
        <f t="shared" si="486"/>
        <v>0</v>
      </c>
      <c r="AO124" s="37">
        <f t="shared" si="486"/>
        <v>0</v>
      </c>
      <c r="AP124" s="37">
        <f t="shared" si="486"/>
        <v>0</v>
      </c>
      <c r="AQ124" s="37">
        <f t="shared" si="486"/>
        <v>0</v>
      </c>
      <c r="AR124" s="37">
        <f t="shared" si="486"/>
        <v>0</v>
      </c>
      <c r="AS124" s="37">
        <f t="shared" si="486"/>
        <v>0</v>
      </c>
      <c r="AT124" s="37">
        <f t="shared" si="486"/>
        <v>0</v>
      </c>
      <c r="AU124" s="37">
        <f t="shared" si="486"/>
        <v>0</v>
      </c>
      <c r="AV124" s="37">
        <f t="shared" si="486"/>
        <v>0</v>
      </c>
      <c r="AW124" s="37">
        <f t="shared" si="486"/>
        <v>0</v>
      </c>
      <c r="AX124" s="37">
        <f t="shared" si="486"/>
        <v>0</v>
      </c>
      <c r="AY124" s="37">
        <f t="shared" si="486"/>
        <v>0</v>
      </c>
      <c r="AZ124" s="37">
        <f t="shared" si="486"/>
        <v>0</v>
      </c>
      <c r="BA124" s="37">
        <f t="shared" si="486"/>
        <v>0</v>
      </c>
      <c r="BB124" s="37">
        <f t="shared" si="486"/>
        <v>0</v>
      </c>
      <c r="BC124" s="37">
        <f t="shared" si="486"/>
        <v>0</v>
      </c>
      <c r="BD124" s="37">
        <f t="shared" si="486"/>
        <v>0</v>
      </c>
      <c r="BE124" s="37">
        <f t="shared" si="486"/>
        <v>0</v>
      </c>
      <c r="BF124" s="37">
        <f t="shared" si="486"/>
        <v>0</v>
      </c>
      <c r="BG124" s="37">
        <f t="shared" si="486"/>
        <v>0</v>
      </c>
      <c r="BH124" s="37">
        <f t="shared" si="486"/>
        <v>0</v>
      </c>
      <c r="BI124" s="37">
        <f t="shared" si="486"/>
        <v>0</v>
      </c>
      <c r="BJ124" s="37">
        <f t="shared" si="486"/>
        <v>0</v>
      </c>
      <c r="BK124" s="37">
        <f t="shared" si="486"/>
        <v>0</v>
      </c>
      <c r="BL124" s="37">
        <f t="shared" si="486"/>
        <v>0</v>
      </c>
      <c r="BM124" s="37">
        <f t="shared" si="486"/>
        <v>0</v>
      </c>
      <c r="BN124" s="37">
        <f t="shared" si="486"/>
        <v>0</v>
      </c>
    </row>
    <row r="125" spans="2:66" x14ac:dyDescent="0.3">
      <c r="C125" t="s">
        <v>105</v>
      </c>
      <c r="G125" s="34">
        <f>G123-MIN(G116,0)+G124</f>
        <v>84882.75</v>
      </c>
      <c r="H125" s="34">
        <f t="shared" ref="H125:M125" si="487">H123-MIN(H116,0)+H124</f>
        <v>168377.85</v>
      </c>
      <c r="I125" s="34">
        <f t="shared" si="487"/>
        <v>250548.3</v>
      </c>
      <c r="J125" s="34">
        <f t="shared" si="487"/>
        <v>348455.1</v>
      </c>
      <c r="K125" s="34">
        <f t="shared" si="487"/>
        <v>445208.5</v>
      </c>
      <c r="L125" s="34">
        <f t="shared" si="487"/>
        <v>540779.55000000005</v>
      </c>
      <c r="M125" s="34">
        <f t="shared" si="487"/>
        <v>657952.66</v>
      </c>
      <c r="N125" s="34">
        <f t="shared" ref="N125" si="488">N123-MIN(N116,0)+N124</f>
        <v>773954.45000000007</v>
      </c>
      <c r="O125" s="34">
        <f t="shared" ref="O125" si="489">O123-MIN(O116,0)+O124</f>
        <v>888732.32000000007</v>
      </c>
      <c r="P125" s="34">
        <f t="shared" ref="P125" si="490">P123-MIN(P116,0)+P124</f>
        <v>1036779.9021000001</v>
      </c>
      <c r="Q125" s="34">
        <f t="shared" ref="Q125" si="491">Q123-MIN(Q116,0)+Q124</f>
        <v>1183399.1139</v>
      </c>
      <c r="R125" s="34">
        <f t="shared" ref="R125" si="492">R123-MIN(R116,0)+R124</f>
        <v>1334625.7649999999</v>
      </c>
      <c r="S125" s="34">
        <f t="shared" ref="S125" si="493">S123-MIN(S116,0)+S124</f>
        <v>1504816.9410629999</v>
      </c>
      <c r="T125" s="34">
        <f t="shared" ref="T125" si="494">T123-MIN(T116,0)+T124</f>
        <v>1673659.8116839998</v>
      </c>
      <c r="U125" s="34">
        <f t="shared" ref="U125" si="495">U123-MIN(U116,0)+U124</f>
        <v>1840988.9787379999</v>
      </c>
      <c r="V125" s="34">
        <f t="shared" ref="V125" si="496">V123-MIN(V116,0)+V124</f>
        <v>2047852.2563692799</v>
      </c>
      <c r="W125" s="34">
        <f t="shared" ref="W125" si="497">W123-MIN(W116,0)+W124</f>
        <v>2252940.6914196</v>
      </c>
      <c r="X125" s="34">
        <f t="shared" ref="X125" si="498">X123-MIN(X116,0)+X124</f>
        <v>2455944.4306702102</v>
      </c>
      <c r="Y125" s="34">
        <f t="shared" ref="Y125" si="499">Y123-MIN(Y116,0)+Y124</f>
        <v>2679838.2679738812</v>
      </c>
      <c r="Z125" s="34">
        <f t="shared" ref="Z125" si="500">Z123-MIN(Z116,0)+Z124</f>
        <v>2919147.3419434931</v>
      </c>
      <c r="AA125" s="34">
        <f t="shared" ref="AA125" si="501">AA123-MIN(AA116,0)+AA124</f>
        <v>3155690.5929253437</v>
      </c>
      <c r="AB125" s="34">
        <f t="shared" ref="AB125" si="502">AB123-MIN(AB116,0)+AB124</f>
        <v>3412539.5457968162</v>
      </c>
      <c r="AC125" s="34">
        <f t="shared" ref="AC125" si="503">AC123-MIN(AC116,0)+AC124</f>
        <v>3683816.8786554169</v>
      </c>
      <c r="AD125" s="34">
        <f t="shared" ref="AD125" si="504">AD123-MIN(AD116,0)+AD124</f>
        <v>3971670.5654477575</v>
      </c>
      <c r="AE125" s="34">
        <f t="shared" ref="AE125:BN125" si="505">AE123-MIN(AE116,0)+AE124</f>
        <v>4270340.1542028496</v>
      </c>
      <c r="AF125" s="34">
        <f t="shared" si="505"/>
        <v>4588815.4082341651</v>
      </c>
      <c r="AG125" s="34">
        <f t="shared" si="505"/>
        <v>4908663.2796017518</v>
      </c>
      <c r="AH125" s="34">
        <f t="shared" si="505"/>
        <v>5263326.7641841453</v>
      </c>
      <c r="AI125" s="34">
        <f t="shared" si="505"/>
        <v>5611950.0508828312</v>
      </c>
      <c r="AJ125" s="34">
        <f t="shared" si="505"/>
        <v>5978031.6564129405</v>
      </c>
      <c r="AK125" s="34">
        <f t="shared" si="505"/>
        <v>6374050.2674828563</v>
      </c>
      <c r="AL125" s="34">
        <f t="shared" si="505"/>
        <v>6768972.9834348056</v>
      </c>
      <c r="AM125" s="34">
        <f t="shared" si="505"/>
        <v>7184606.5030223271</v>
      </c>
      <c r="AN125" s="34">
        <f t="shared" si="505"/>
        <v>7625840.4663018547</v>
      </c>
      <c r="AO125" s="34">
        <f t="shared" si="505"/>
        <v>8080703.7716121944</v>
      </c>
      <c r="AP125" s="34">
        <f t="shared" si="505"/>
        <v>8553128.5447083618</v>
      </c>
      <c r="AQ125" s="34">
        <f t="shared" si="505"/>
        <v>9041662.1636721995</v>
      </c>
      <c r="AR125" s="34">
        <f t="shared" si="505"/>
        <v>9545541.9793585837</v>
      </c>
      <c r="AS125" s="34">
        <f t="shared" si="505"/>
        <v>10061765.430429569</v>
      </c>
      <c r="AT125" s="34">
        <f t="shared" si="505"/>
        <v>10614543.764585402</v>
      </c>
      <c r="AU125" s="34">
        <f t="shared" si="505"/>
        <v>11180441.870104693</v>
      </c>
      <c r="AV125" s="34">
        <f t="shared" si="505"/>
        <v>11771253.559367709</v>
      </c>
      <c r="AW125" s="34">
        <f t="shared" si="505"/>
        <v>12393757.457986116</v>
      </c>
      <c r="AX125" s="34">
        <f t="shared" si="505"/>
        <v>13039335.401935311</v>
      </c>
      <c r="AY125" s="34">
        <f t="shared" si="505"/>
        <v>13706860.69739042</v>
      </c>
      <c r="AZ125" s="34">
        <f t="shared" si="505"/>
        <v>14415689.148656819</v>
      </c>
      <c r="BA125" s="34">
        <f t="shared" si="505"/>
        <v>15143372.97800873</v>
      </c>
      <c r="BB125" s="34">
        <f t="shared" si="505"/>
        <v>15904282.193492172</v>
      </c>
      <c r="BC125" s="34">
        <f t="shared" si="505"/>
        <v>16685416.447126333</v>
      </c>
      <c r="BD125" s="34">
        <f t="shared" si="505"/>
        <v>17511302.106606081</v>
      </c>
      <c r="BE125" s="34">
        <f t="shared" si="505"/>
        <v>18376190.329063538</v>
      </c>
      <c r="BF125" s="34">
        <f t="shared" si="505"/>
        <v>19275027.038839959</v>
      </c>
      <c r="BG125" s="34">
        <f t="shared" si="505"/>
        <v>20203330.711106047</v>
      </c>
      <c r="BH125" s="34">
        <f t="shared" si="505"/>
        <v>21184420.175454043</v>
      </c>
      <c r="BI125" s="34">
        <f t="shared" si="505"/>
        <v>22207844.125150863</v>
      </c>
      <c r="BJ125" s="34">
        <f t="shared" si="505"/>
        <v>23280844.857832488</v>
      </c>
      <c r="BK125" s="34">
        <f t="shared" si="505"/>
        <v>24404947.281960107</v>
      </c>
      <c r="BL125" s="34">
        <f t="shared" si="505"/>
        <v>25576001.091460556</v>
      </c>
      <c r="BM125" s="34">
        <f t="shared" si="505"/>
        <v>26817601.968341909</v>
      </c>
      <c r="BN125" s="34">
        <f t="shared" si="505"/>
        <v>28116825.091660526</v>
      </c>
    </row>
    <row r="127" spans="2:66" x14ac:dyDescent="0.3">
      <c r="C127" t="s">
        <v>106</v>
      </c>
      <c r="G127" s="37">
        <f>IF(G116&lt;0,0, G116+G124)</f>
        <v>0</v>
      </c>
      <c r="H127" s="37">
        <f t="shared" ref="H127:M127" si="506">IF(H116&lt;0,0, H116+H124)</f>
        <v>0</v>
      </c>
      <c r="I127" s="37">
        <f t="shared" si="506"/>
        <v>0</v>
      </c>
      <c r="J127" s="37">
        <f t="shared" si="506"/>
        <v>0</v>
      </c>
      <c r="K127" s="37">
        <f t="shared" si="506"/>
        <v>0</v>
      </c>
      <c r="L127" s="37">
        <f t="shared" si="506"/>
        <v>0</v>
      </c>
      <c r="M127" s="37">
        <f t="shared" si="506"/>
        <v>0</v>
      </c>
      <c r="N127" s="37">
        <f t="shared" ref="N127:AD127" si="507">IF(N116&lt;0,0, N116+N124)</f>
        <v>0</v>
      </c>
      <c r="O127" s="37">
        <f t="shared" si="507"/>
        <v>0</v>
      </c>
      <c r="P127" s="37">
        <f t="shared" si="507"/>
        <v>0</v>
      </c>
      <c r="Q127" s="37">
        <f t="shared" si="507"/>
        <v>0</v>
      </c>
      <c r="R127" s="37">
        <f t="shared" si="507"/>
        <v>0</v>
      </c>
      <c r="S127" s="37">
        <f t="shared" si="507"/>
        <v>0</v>
      </c>
      <c r="T127" s="37">
        <f t="shared" si="507"/>
        <v>0</v>
      </c>
      <c r="U127" s="37">
        <f t="shared" si="507"/>
        <v>0</v>
      </c>
      <c r="V127" s="37">
        <f t="shared" si="507"/>
        <v>0</v>
      </c>
      <c r="W127" s="37">
        <f t="shared" si="507"/>
        <v>0</v>
      </c>
      <c r="X127" s="37">
        <f t="shared" si="507"/>
        <v>0</v>
      </c>
      <c r="Y127" s="37">
        <f t="shared" si="507"/>
        <v>0</v>
      </c>
      <c r="Z127" s="37">
        <f t="shared" si="507"/>
        <v>0</v>
      </c>
      <c r="AA127" s="37">
        <f t="shared" si="507"/>
        <v>0</v>
      </c>
      <c r="AB127" s="37">
        <f t="shared" si="507"/>
        <v>0</v>
      </c>
      <c r="AC127" s="37">
        <f t="shared" si="507"/>
        <v>0</v>
      </c>
      <c r="AD127" s="37">
        <f t="shared" si="507"/>
        <v>0</v>
      </c>
      <c r="AE127" s="37">
        <f t="shared" ref="AE127:BN127" si="508">IF(AE116&lt;0,0, AE116+AE124)</f>
        <v>0</v>
      </c>
      <c r="AF127" s="37">
        <f t="shared" si="508"/>
        <v>0</v>
      </c>
      <c r="AG127" s="37">
        <f t="shared" si="508"/>
        <v>0</v>
      </c>
      <c r="AH127" s="37">
        <f t="shared" si="508"/>
        <v>0</v>
      </c>
      <c r="AI127" s="37">
        <f t="shared" si="508"/>
        <v>0</v>
      </c>
      <c r="AJ127" s="37">
        <f t="shared" si="508"/>
        <v>0</v>
      </c>
      <c r="AK127" s="37">
        <f t="shared" si="508"/>
        <v>0</v>
      </c>
      <c r="AL127" s="37">
        <f t="shared" si="508"/>
        <v>0</v>
      </c>
      <c r="AM127" s="37">
        <f t="shared" si="508"/>
        <v>0</v>
      </c>
      <c r="AN127" s="37">
        <f t="shared" si="508"/>
        <v>0</v>
      </c>
      <c r="AO127" s="37">
        <f t="shared" si="508"/>
        <v>0</v>
      </c>
      <c r="AP127" s="37">
        <f t="shared" si="508"/>
        <v>0</v>
      </c>
      <c r="AQ127" s="37">
        <f t="shared" si="508"/>
        <v>0</v>
      </c>
      <c r="AR127" s="37">
        <f t="shared" si="508"/>
        <v>0</v>
      </c>
      <c r="AS127" s="37">
        <f t="shared" si="508"/>
        <v>0</v>
      </c>
      <c r="AT127" s="37">
        <f t="shared" si="508"/>
        <v>0</v>
      </c>
      <c r="AU127" s="37">
        <f t="shared" si="508"/>
        <v>0</v>
      </c>
      <c r="AV127" s="37">
        <f t="shared" si="508"/>
        <v>0</v>
      </c>
      <c r="AW127" s="37">
        <f t="shared" si="508"/>
        <v>0</v>
      </c>
      <c r="AX127" s="37">
        <f t="shared" si="508"/>
        <v>0</v>
      </c>
      <c r="AY127" s="37">
        <f t="shared" si="508"/>
        <v>0</v>
      </c>
      <c r="AZ127" s="37">
        <f t="shared" si="508"/>
        <v>0</v>
      </c>
      <c r="BA127" s="37">
        <f t="shared" si="508"/>
        <v>0</v>
      </c>
      <c r="BB127" s="37">
        <f t="shared" si="508"/>
        <v>0</v>
      </c>
      <c r="BC127" s="37">
        <f t="shared" si="508"/>
        <v>0</v>
      </c>
      <c r="BD127" s="37">
        <f t="shared" si="508"/>
        <v>0</v>
      </c>
      <c r="BE127" s="37">
        <f t="shared" si="508"/>
        <v>0</v>
      </c>
      <c r="BF127" s="37">
        <f t="shared" si="508"/>
        <v>0</v>
      </c>
      <c r="BG127" s="37">
        <f t="shared" si="508"/>
        <v>0</v>
      </c>
      <c r="BH127" s="37">
        <f t="shared" si="508"/>
        <v>0</v>
      </c>
      <c r="BI127" s="37">
        <f t="shared" si="508"/>
        <v>0</v>
      </c>
      <c r="BJ127" s="37">
        <f t="shared" si="508"/>
        <v>0</v>
      </c>
      <c r="BK127" s="37">
        <f t="shared" si="508"/>
        <v>0</v>
      </c>
      <c r="BL127" s="37">
        <f t="shared" si="508"/>
        <v>0</v>
      </c>
      <c r="BM127" s="37">
        <f t="shared" si="508"/>
        <v>0</v>
      </c>
      <c r="BN127" s="37">
        <f t="shared" si="508"/>
        <v>0</v>
      </c>
    </row>
    <row r="128" spans="2:66" x14ac:dyDescent="0.3">
      <c r="C128" s="25" t="s">
        <v>107</v>
      </c>
      <c r="E128" s="68">
        <f>Assumptions!E60</f>
        <v>0.21</v>
      </c>
      <c r="G128" s="70">
        <f>$E128</f>
        <v>0.21</v>
      </c>
      <c r="H128" s="70">
        <f t="shared" ref="H128:BN128" si="509">$E128</f>
        <v>0.21</v>
      </c>
      <c r="I128" s="70">
        <f t="shared" si="509"/>
        <v>0.21</v>
      </c>
      <c r="J128" s="70">
        <f t="shared" si="509"/>
        <v>0.21</v>
      </c>
      <c r="K128" s="70">
        <f t="shared" si="509"/>
        <v>0.21</v>
      </c>
      <c r="L128" s="70">
        <f t="shared" si="509"/>
        <v>0.21</v>
      </c>
      <c r="M128" s="70">
        <f t="shared" si="509"/>
        <v>0.21</v>
      </c>
      <c r="N128" s="70">
        <f t="shared" si="509"/>
        <v>0.21</v>
      </c>
      <c r="O128" s="70">
        <f t="shared" si="509"/>
        <v>0.21</v>
      </c>
      <c r="P128" s="70">
        <f t="shared" si="509"/>
        <v>0.21</v>
      </c>
      <c r="Q128" s="70">
        <f t="shared" si="509"/>
        <v>0.21</v>
      </c>
      <c r="R128" s="70">
        <f t="shared" si="509"/>
        <v>0.21</v>
      </c>
      <c r="S128" s="70">
        <f t="shared" si="509"/>
        <v>0.21</v>
      </c>
      <c r="T128" s="70">
        <f t="shared" si="509"/>
        <v>0.21</v>
      </c>
      <c r="U128" s="70">
        <f t="shared" si="509"/>
        <v>0.21</v>
      </c>
      <c r="V128" s="70">
        <f t="shared" si="509"/>
        <v>0.21</v>
      </c>
      <c r="W128" s="70">
        <f t="shared" si="509"/>
        <v>0.21</v>
      </c>
      <c r="X128" s="70">
        <f t="shared" si="509"/>
        <v>0.21</v>
      </c>
      <c r="Y128" s="70">
        <f t="shared" si="509"/>
        <v>0.21</v>
      </c>
      <c r="Z128" s="70">
        <f t="shared" si="509"/>
        <v>0.21</v>
      </c>
      <c r="AA128" s="70">
        <f t="shared" si="509"/>
        <v>0.21</v>
      </c>
      <c r="AB128" s="70">
        <f t="shared" si="509"/>
        <v>0.21</v>
      </c>
      <c r="AC128" s="70">
        <f t="shared" si="509"/>
        <v>0.21</v>
      </c>
      <c r="AD128" s="70">
        <f t="shared" si="509"/>
        <v>0.21</v>
      </c>
      <c r="AE128" s="70">
        <f t="shared" si="509"/>
        <v>0.21</v>
      </c>
      <c r="AF128" s="70">
        <f t="shared" si="509"/>
        <v>0.21</v>
      </c>
      <c r="AG128" s="70">
        <f t="shared" si="509"/>
        <v>0.21</v>
      </c>
      <c r="AH128" s="70">
        <f t="shared" si="509"/>
        <v>0.21</v>
      </c>
      <c r="AI128" s="70">
        <f t="shared" si="509"/>
        <v>0.21</v>
      </c>
      <c r="AJ128" s="70">
        <f t="shared" si="509"/>
        <v>0.21</v>
      </c>
      <c r="AK128" s="70">
        <f t="shared" si="509"/>
        <v>0.21</v>
      </c>
      <c r="AL128" s="70">
        <f t="shared" si="509"/>
        <v>0.21</v>
      </c>
      <c r="AM128" s="70">
        <f t="shared" si="509"/>
        <v>0.21</v>
      </c>
      <c r="AN128" s="70">
        <f t="shared" si="509"/>
        <v>0.21</v>
      </c>
      <c r="AO128" s="70">
        <f t="shared" si="509"/>
        <v>0.21</v>
      </c>
      <c r="AP128" s="70">
        <f t="shared" si="509"/>
        <v>0.21</v>
      </c>
      <c r="AQ128" s="70">
        <f t="shared" si="509"/>
        <v>0.21</v>
      </c>
      <c r="AR128" s="70">
        <f t="shared" si="509"/>
        <v>0.21</v>
      </c>
      <c r="AS128" s="70">
        <f t="shared" si="509"/>
        <v>0.21</v>
      </c>
      <c r="AT128" s="70">
        <f t="shared" si="509"/>
        <v>0.21</v>
      </c>
      <c r="AU128" s="70">
        <f t="shared" si="509"/>
        <v>0.21</v>
      </c>
      <c r="AV128" s="70">
        <f t="shared" si="509"/>
        <v>0.21</v>
      </c>
      <c r="AW128" s="70">
        <f t="shared" si="509"/>
        <v>0.21</v>
      </c>
      <c r="AX128" s="70">
        <f t="shared" si="509"/>
        <v>0.21</v>
      </c>
      <c r="AY128" s="70">
        <f t="shared" si="509"/>
        <v>0.21</v>
      </c>
      <c r="AZ128" s="70">
        <f t="shared" si="509"/>
        <v>0.21</v>
      </c>
      <c r="BA128" s="70">
        <f t="shared" si="509"/>
        <v>0.21</v>
      </c>
      <c r="BB128" s="70">
        <f t="shared" si="509"/>
        <v>0.21</v>
      </c>
      <c r="BC128" s="70">
        <f t="shared" si="509"/>
        <v>0.21</v>
      </c>
      <c r="BD128" s="70">
        <f t="shared" si="509"/>
        <v>0.21</v>
      </c>
      <c r="BE128" s="70">
        <f t="shared" si="509"/>
        <v>0.21</v>
      </c>
      <c r="BF128" s="70">
        <f t="shared" si="509"/>
        <v>0.21</v>
      </c>
      <c r="BG128" s="70">
        <f t="shared" si="509"/>
        <v>0.21</v>
      </c>
      <c r="BH128" s="70">
        <f t="shared" si="509"/>
        <v>0.21</v>
      </c>
      <c r="BI128" s="70">
        <f t="shared" si="509"/>
        <v>0.21</v>
      </c>
      <c r="BJ128" s="70">
        <f t="shared" si="509"/>
        <v>0.21</v>
      </c>
      <c r="BK128" s="70">
        <f t="shared" si="509"/>
        <v>0.21</v>
      </c>
      <c r="BL128" s="70">
        <f t="shared" si="509"/>
        <v>0.21</v>
      </c>
      <c r="BM128" s="70">
        <f t="shared" si="509"/>
        <v>0.21</v>
      </c>
      <c r="BN128" s="70">
        <f t="shared" si="509"/>
        <v>0.21</v>
      </c>
    </row>
    <row r="129" spans="1:66" x14ac:dyDescent="0.3">
      <c r="C129" s="31" t="s">
        <v>108</v>
      </c>
      <c r="D129" s="31"/>
      <c r="E129" s="31"/>
      <c r="F129" s="31"/>
      <c r="G129" s="39">
        <f>-G127*G128</f>
        <v>0</v>
      </c>
      <c r="H129" s="39">
        <f t="shared" ref="H129:AD129" si="510">-H127*H128</f>
        <v>0</v>
      </c>
      <c r="I129" s="39">
        <f t="shared" si="510"/>
        <v>0</v>
      </c>
      <c r="J129" s="39">
        <f t="shared" si="510"/>
        <v>0</v>
      </c>
      <c r="K129" s="39">
        <f t="shared" si="510"/>
        <v>0</v>
      </c>
      <c r="L129" s="39">
        <f t="shared" si="510"/>
        <v>0</v>
      </c>
      <c r="M129" s="39">
        <f t="shared" si="510"/>
        <v>0</v>
      </c>
      <c r="N129" s="39">
        <f t="shared" si="510"/>
        <v>0</v>
      </c>
      <c r="O129" s="39">
        <f t="shared" si="510"/>
        <v>0</v>
      </c>
      <c r="P129" s="39">
        <f t="shared" si="510"/>
        <v>0</v>
      </c>
      <c r="Q129" s="39">
        <f t="shared" si="510"/>
        <v>0</v>
      </c>
      <c r="R129" s="39">
        <f t="shared" si="510"/>
        <v>0</v>
      </c>
      <c r="S129" s="39">
        <f t="shared" si="510"/>
        <v>0</v>
      </c>
      <c r="T129" s="39">
        <f t="shared" si="510"/>
        <v>0</v>
      </c>
      <c r="U129" s="39">
        <f t="shared" si="510"/>
        <v>0</v>
      </c>
      <c r="V129" s="39">
        <f t="shared" si="510"/>
        <v>0</v>
      </c>
      <c r="W129" s="39">
        <f t="shared" si="510"/>
        <v>0</v>
      </c>
      <c r="X129" s="39">
        <f t="shared" si="510"/>
        <v>0</v>
      </c>
      <c r="Y129" s="39">
        <f t="shared" si="510"/>
        <v>0</v>
      </c>
      <c r="Z129" s="39">
        <f t="shared" si="510"/>
        <v>0</v>
      </c>
      <c r="AA129" s="39">
        <f t="shared" si="510"/>
        <v>0</v>
      </c>
      <c r="AB129" s="39">
        <f t="shared" si="510"/>
        <v>0</v>
      </c>
      <c r="AC129" s="39">
        <f t="shared" si="510"/>
        <v>0</v>
      </c>
      <c r="AD129" s="39">
        <f t="shared" si="510"/>
        <v>0</v>
      </c>
      <c r="AE129" s="39">
        <f t="shared" ref="AE129:BN129" si="511">-AE127*AE128</f>
        <v>0</v>
      </c>
      <c r="AF129" s="39">
        <f t="shared" si="511"/>
        <v>0</v>
      </c>
      <c r="AG129" s="39">
        <f t="shared" si="511"/>
        <v>0</v>
      </c>
      <c r="AH129" s="39">
        <f t="shared" si="511"/>
        <v>0</v>
      </c>
      <c r="AI129" s="39">
        <f t="shared" si="511"/>
        <v>0</v>
      </c>
      <c r="AJ129" s="39">
        <f t="shared" si="511"/>
        <v>0</v>
      </c>
      <c r="AK129" s="39">
        <f t="shared" si="511"/>
        <v>0</v>
      </c>
      <c r="AL129" s="39">
        <f t="shared" si="511"/>
        <v>0</v>
      </c>
      <c r="AM129" s="39">
        <f t="shared" si="511"/>
        <v>0</v>
      </c>
      <c r="AN129" s="39">
        <f t="shared" si="511"/>
        <v>0</v>
      </c>
      <c r="AO129" s="39">
        <f t="shared" si="511"/>
        <v>0</v>
      </c>
      <c r="AP129" s="39">
        <f t="shared" si="511"/>
        <v>0</v>
      </c>
      <c r="AQ129" s="39">
        <f t="shared" si="511"/>
        <v>0</v>
      </c>
      <c r="AR129" s="39">
        <f t="shared" si="511"/>
        <v>0</v>
      </c>
      <c r="AS129" s="39">
        <f t="shared" si="511"/>
        <v>0</v>
      </c>
      <c r="AT129" s="39">
        <f t="shared" si="511"/>
        <v>0</v>
      </c>
      <c r="AU129" s="39">
        <f t="shared" si="511"/>
        <v>0</v>
      </c>
      <c r="AV129" s="39">
        <f t="shared" si="511"/>
        <v>0</v>
      </c>
      <c r="AW129" s="39">
        <f t="shared" si="511"/>
        <v>0</v>
      </c>
      <c r="AX129" s="39">
        <f t="shared" si="511"/>
        <v>0</v>
      </c>
      <c r="AY129" s="39">
        <f t="shared" si="511"/>
        <v>0</v>
      </c>
      <c r="AZ129" s="39">
        <f t="shared" si="511"/>
        <v>0</v>
      </c>
      <c r="BA129" s="39">
        <f t="shared" si="511"/>
        <v>0</v>
      </c>
      <c r="BB129" s="39">
        <f t="shared" si="511"/>
        <v>0</v>
      </c>
      <c r="BC129" s="39">
        <f t="shared" si="511"/>
        <v>0</v>
      </c>
      <c r="BD129" s="39">
        <f t="shared" si="511"/>
        <v>0</v>
      </c>
      <c r="BE129" s="39">
        <f t="shared" si="511"/>
        <v>0</v>
      </c>
      <c r="BF129" s="39">
        <f t="shared" si="511"/>
        <v>0</v>
      </c>
      <c r="BG129" s="39">
        <f t="shared" si="511"/>
        <v>0</v>
      </c>
      <c r="BH129" s="39">
        <f t="shared" si="511"/>
        <v>0</v>
      </c>
      <c r="BI129" s="39">
        <f t="shared" si="511"/>
        <v>0</v>
      </c>
      <c r="BJ129" s="39">
        <f t="shared" si="511"/>
        <v>0</v>
      </c>
      <c r="BK129" s="39">
        <f t="shared" si="511"/>
        <v>0</v>
      </c>
      <c r="BL129" s="39">
        <f t="shared" si="511"/>
        <v>0</v>
      </c>
      <c r="BM129" s="39">
        <f t="shared" si="511"/>
        <v>0</v>
      </c>
      <c r="BN129" s="39">
        <f t="shared" si="511"/>
        <v>0</v>
      </c>
    </row>
    <row r="131" spans="1:66" x14ac:dyDescent="0.3">
      <c r="B131" s="22" t="s">
        <v>0</v>
      </c>
      <c r="C131" s="35" t="s">
        <v>110</v>
      </c>
      <c r="D131" s="47"/>
      <c r="E131" s="47"/>
      <c r="F131" s="47"/>
      <c r="G131" s="40">
        <f>G116+G129</f>
        <v>-84882.75</v>
      </c>
      <c r="H131" s="40">
        <f t="shared" ref="H131:AD131" si="512">H116+H129</f>
        <v>-83495.100000000006</v>
      </c>
      <c r="I131" s="40">
        <f t="shared" si="512"/>
        <v>-82170.45</v>
      </c>
      <c r="J131" s="40">
        <f t="shared" si="512"/>
        <v>-97906.8</v>
      </c>
      <c r="K131" s="40">
        <f t="shared" si="512"/>
        <v>-96753.4</v>
      </c>
      <c r="L131" s="40">
        <f t="shared" si="512"/>
        <v>-95571.05</v>
      </c>
      <c r="M131" s="40">
        <f t="shared" si="512"/>
        <v>-117173.11000000002</v>
      </c>
      <c r="N131" s="40">
        <f t="shared" si="512"/>
        <v>-116001.79</v>
      </c>
      <c r="O131" s="40">
        <f t="shared" si="512"/>
        <v>-114777.86999999998</v>
      </c>
      <c r="P131" s="40">
        <f t="shared" si="512"/>
        <v>-148047.5821</v>
      </c>
      <c r="Q131" s="40">
        <f t="shared" si="512"/>
        <v>-146619.21179999999</v>
      </c>
      <c r="R131" s="40">
        <f t="shared" si="512"/>
        <v>-151226.65109999999</v>
      </c>
      <c r="S131" s="40">
        <f t="shared" si="512"/>
        <v>-170191.17606299999</v>
      </c>
      <c r="T131" s="40">
        <f t="shared" si="512"/>
        <v>-168842.87062100001</v>
      </c>
      <c r="U131" s="40">
        <f t="shared" si="512"/>
        <v>-167329.16705400002</v>
      </c>
      <c r="V131" s="40">
        <f t="shared" si="512"/>
        <v>-206863.27763128004</v>
      </c>
      <c r="W131" s="40">
        <f t="shared" si="512"/>
        <v>-205088.43505032</v>
      </c>
      <c r="X131" s="40">
        <f t="shared" si="512"/>
        <v>-203003.73925061</v>
      </c>
      <c r="Y131" s="40">
        <f t="shared" si="512"/>
        <v>-223893.83730367129</v>
      </c>
      <c r="Z131" s="40">
        <f t="shared" si="512"/>
        <v>-239309.07396961169</v>
      </c>
      <c r="AA131" s="40">
        <f t="shared" si="512"/>
        <v>-236543.25098185043</v>
      </c>
      <c r="AB131" s="40">
        <f t="shared" si="512"/>
        <v>-256848.95287147266</v>
      </c>
      <c r="AC131" s="40">
        <f t="shared" si="512"/>
        <v>-271277.33285860042</v>
      </c>
      <c r="AD131" s="40">
        <f t="shared" si="512"/>
        <v>-287853.6867923406</v>
      </c>
      <c r="AE131" s="40">
        <f t="shared" ref="AE131:BN131" si="513">AE116+AE129</f>
        <v>-298669.58875509218</v>
      </c>
      <c r="AF131" s="40">
        <f t="shared" si="513"/>
        <v>-318475.25403131562</v>
      </c>
      <c r="AG131" s="40">
        <f t="shared" si="513"/>
        <v>-319847.87136758678</v>
      </c>
      <c r="AH131" s="40">
        <f t="shared" si="513"/>
        <v>-354663.48458239355</v>
      </c>
      <c r="AI131" s="40">
        <f t="shared" si="513"/>
        <v>-348623.28669868584</v>
      </c>
      <c r="AJ131" s="40">
        <f t="shared" si="513"/>
        <v>-366081.60553010949</v>
      </c>
      <c r="AK131" s="40">
        <f t="shared" si="513"/>
        <v>-396018.61106991582</v>
      </c>
      <c r="AL131" s="40">
        <f t="shared" si="513"/>
        <v>-394922.71595194901</v>
      </c>
      <c r="AM131" s="40">
        <f t="shared" si="513"/>
        <v>-415633.51958752144</v>
      </c>
      <c r="AN131" s="40">
        <f t="shared" si="513"/>
        <v>-441233.96327952784</v>
      </c>
      <c r="AO131" s="40">
        <f t="shared" si="513"/>
        <v>-454863.30531034002</v>
      </c>
      <c r="AP131" s="40">
        <f t="shared" si="513"/>
        <v>-472424.77309616795</v>
      </c>
      <c r="AQ131" s="40">
        <f t="shared" si="513"/>
        <v>-488533.61896383774</v>
      </c>
      <c r="AR131" s="40">
        <f t="shared" si="513"/>
        <v>-503879.81568638509</v>
      </c>
      <c r="AS131" s="40">
        <f t="shared" si="513"/>
        <v>-516223.45107098506</v>
      </c>
      <c r="AT131" s="40">
        <f t="shared" si="513"/>
        <v>-552778.33415583381</v>
      </c>
      <c r="AU131" s="40">
        <f t="shared" si="513"/>
        <v>-565898.1055192916</v>
      </c>
      <c r="AV131" s="40">
        <f t="shared" si="513"/>
        <v>-590811.68926301622</v>
      </c>
      <c r="AW131" s="40">
        <f t="shared" si="513"/>
        <v>-622503.89861840755</v>
      </c>
      <c r="AX131" s="40">
        <f t="shared" si="513"/>
        <v>-645577.94394919497</v>
      </c>
      <c r="AY131" s="40">
        <f t="shared" si="513"/>
        <v>-667525.29545510875</v>
      </c>
      <c r="AZ131" s="40">
        <f t="shared" si="513"/>
        <v>-708828.45126639958</v>
      </c>
      <c r="BA131" s="40">
        <f t="shared" si="513"/>
        <v>-727683.82935191155</v>
      </c>
      <c r="BB131" s="40">
        <f t="shared" si="513"/>
        <v>-760909.21548344148</v>
      </c>
      <c r="BC131" s="40">
        <f t="shared" si="513"/>
        <v>-781134.25363415945</v>
      </c>
      <c r="BD131" s="40">
        <f t="shared" si="513"/>
        <v>-825885.65947975032</v>
      </c>
      <c r="BE131" s="40">
        <f t="shared" si="513"/>
        <v>-864888.22245745896</v>
      </c>
      <c r="BF131" s="40">
        <f t="shared" si="513"/>
        <v>-898836.70977642154</v>
      </c>
      <c r="BG131" s="40">
        <f t="shared" si="513"/>
        <v>-928303.67226608889</v>
      </c>
      <c r="BH131" s="40">
        <f t="shared" si="513"/>
        <v>-981089.46434799442</v>
      </c>
      <c r="BI131" s="40">
        <f t="shared" si="513"/>
        <v>-1023423.9496968198</v>
      </c>
      <c r="BJ131" s="40">
        <f t="shared" si="513"/>
        <v>-1073000.732681626</v>
      </c>
      <c r="BK131" s="40">
        <f t="shared" si="513"/>
        <v>-1124102.4241276206</v>
      </c>
      <c r="BL131" s="40">
        <f t="shared" si="513"/>
        <v>-1171053.8095004479</v>
      </c>
      <c r="BM131" s="40">
        <f t="shared" si="513"/>
        <v>-1241600.8768813526</v>
      </c>
      <c r="BN131" s="40">
        <f t="shared" si="513"/>
        <v>-1299223.1233186172</v>
      </c>
    </row>
    <row r="133" spans="1:66" x14ac:dyDescent="0.3">
      <c r="A133" s="22" t="s">
        <v>0</v>
      </c>
      <c r="B133" s="22" t="s">
        <v>0</v>
      </c>
      <c r="C133" s="53" t="s">
        <v>111</v>
      </c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</row>
    <row r="134" spans="1:66" ht="3" customHeight="1" x14ac:dyDescent="0.3"/>
    <row r="135" spans="1:66" x14ac:dyDescent="0.3">
      <c r="B135" s="22" t="s">
        <v>0</v>
      </c>
      <c r="C135" s="4" t="s">
        <v>120</v>
      </c>
      <c r="E135" s="63"/>
    </row>
    <row r="136" spans="1:66" ht="3" customHeight="1" x14ac:dyDescent="0.3"/>
    <row r="137" spans="1:66" x14ac:dyDescent="0.3">
      <c r="C137" t="s">
        <v>126</v>
      </c>
      <c r="G137" s="37">
        <f>G213</f>
        <v>937624.16666666663</v>
      </c>
      <c r="H137" s="37">
        <f t="shared" ref="H137:M137" si="514">H213</f>
        <v>876277.75</v>
      </c>
      <c r="I137" s="37">
        <f t="shared" si="514"/>
        <v>815913.15</v>
      </c>
      <c r="J137" s="37">
        <f t="shared" si="514"/>
        <v>738346.56666666665</v>
      </c>
      <c r="K137" s="37">
        <f t="shared" si="514"/>
        <v>662543.16666666663</v>
      </c>
      <c r="L137" s="37">
        <f t="shared" si="514"/>
        <v>587677.94999999995</v>
      </c>
      <c r="M137" s="37">
        <f t="shared" si="514"/>
        <v>489068.65666666662</v>
      </c>
      <c r="N137" s="37">
        <f t="shared" ref="N137:Q137" si="515">N213</f>
        <v>393067.43333333329</v>
      </c>
      <c r="O137" s="37">
        <f t="shared" si="515"/>
        <v>298086.23</v>
      </c>
      <c r="P137" s="37">
        <f t="shared" si="515"/>
        <v>166994.43123333331</v>
      </c>
      <c r="Q137" s="37">
        <f t="shared" si="515"/>
        <v>21438652.9444272</v>
      </c>
      <c r="R137" s="37">
        <f t="shared" ref="R137:AD137" si="516">R213</f>
        <v>21306612.226660535</v>
      </c>
      <c r="S137" s="37">
        <f t="shared" si="516"/>
        <v>21163279.300597534</v>
      </c>
      <c r="T137" s="37">
        <f t="shared" si="516"/>
        <v>21025978.796643201</v>
      </c>
      <c r="U137" s="37">
        <f t="shared" si="516"/>
        <v>20891486.329589203</v>
      </c>
      <c r="V137" s="37">
        <f t="shared" si="516"/>
        <v>20713614.301957924</v>
      </c>
      <c r="W137" s="37">
        <f t="shared" si="516"/>
        <v>20543903.266907603</v>
      </c>
      <c r="X137" s="37">
        <f t="shared" si="516"/>
        <v>20377649.827656992</v>
      </c>
      <c r="Y137" s="37">
        <f t="shared" si="516"/>
        <v>20184974.757019985</v>
      </c>
      <c r="Z137" s="37">
        <f t="shared" si="516"/>
        <v>19985237.683050375</v>
      </c>
      <c r="AA137" s="37">
        <f t="shared" si="516"/>
        <v>19790248.432068527</v>
      </c>
      <c r="AB137" s="37">
        <f t="shared" si="516"/>
        <v>19568117.845863722</v>
      </c>
      <c r="AC137" s="37">
        <f t="shared" si="516"/>
        <v>19342100.146338455</v>
      </c>
      <c r="AD137" s="37">
        <f t="shared" si="516"/>
        <v>19101908.42621278</v>
      </c>
      <c r="AE137" s="37">
        <f t="shared" ref="AE137:BN137" si="517">AE213</f>
        <v>18841685.02079102</v>
      </c>
      <c r="AF137" s="37">
        <f t="shared" si="517"/>
        <v>18576423.03342637</v>
      </c>
      <c r="AG137" s="37">
        <f t="shared" si="517"/>
        <v>18313846.278725449</v>
      </c>
      <c r="AH137" s="37">
        <f t="shared" si="517"/>
        <v>18005358.227476388</v>
      </c>
      <c r="AI137" s="37">
        <f t="shared" si="517"/>
        <v>17721788.307444368</v>
      </c>
      <c r="AJ137" s="37">
        <f t="shared" si="517"/>
        <v>17425699.635247592</v>
      </c>
      <c r="AK137" s="37">
        <f t="shared" si="517"/>
        <v>17084843.540844344</v>
      </c>
      <c r="AL137" s="37">
        <f t="shared" si="517"/>
        <v>16768802.374892395</v>
      </c>
      <c r="AM137" s="37">
        <f t="shared" si="517"/>
        <v>16437940.071971539</v>
      </c>
      <c r="AN137" s="37">
        <f t="shared" si="517"/>
        <v>16062355.225358678</v>
      </c>
      <c r="AO137" s="37">
        <f t="shared" si="517"/>
        <v>15703954.586715005</v>
      </c>
      <c r="AP137" s="37">
        <f t="shared" si="517"/>
        <v>15335153.480285505</v>
      </c>
      <c r="AQ137" s="37">
        <f t="shared" si="517"/>
        <v>14924412.494655</v>
      </c>
      <c r="AR137" s="37">
        <f t="shared" si="517"/>
        <v>14537446.895635281</v>
      </c>
      <c r="AS137" s="37">
        <f t="shared" si="517"/>
        <v>14147219.327897629</v>
      </c>
      <c r="AT137" s="37">
        <f t="shared" si="517"/>
        <v>13686501.260408461</v>
      </c>
      <c r="AU137" s="37">
        <f t="shared" si="517"/>
        <v>13262673.921555836</v>
      </c>
      <c r="AV137" s="37">
        <f t="shared" si="517"/>
        <v>12825038.098959487</v>
      </c>
      <c r="AW137" s="37">
        <f t="shared" si="517"/>
        <v>12311135.85034108</v>
      </c>
      <c r="AX137" s="37">
        <f t="shared" si="517"/>
        <v>11837811.356391884</v>
      </c>
      <c r="AY137" s="37">
        <f t="shared" si="517"/>
        <v>11355662.760936776</v>
      </c>
      <c r="AZ137" s="37">
        <f t="shared" si="517"/>
        <v>10773637.609670376</v>
      </c>
      <c r="BA137" s="37">
        <f t="shared" si="517"/>
        <v>10254540.646985132</v>
      </c>
      <c r="BB137" s="37">
        <f t="shared" si="517"/>
        <v>9718212.6981683578</v>
      </c>
      <c r="BC137" s="37">
        <f t="shared" si="517"/>
        <v>9083760.8278675321</v>
      </c>
      <c r="BD137" s="37">
        <f t="shared" si="517"/>
        <v>8509185.5850544479</v>
      </c>
      <c r="BE137" s="37">
        <f t="shared" si="517"/>
        <v>7914418.5292636557</v>
      </c>
      <c r="BF137" s="37">
        <f t="shared" si="517"/>
        <v>7182925.8194872346</v>
      </c>
      <c r="BG137" s="37">
        <f t="shared" si="517"/>
        <v>6556361.2472211458</v>
      </c>
      <c r="BH137" s="37">
        <f t="shared" si="517"/>
        <v>5899963.7828731518</v>
      </c>
      <c r="BI137" s="37">
        <f t="shared" si="517"/>
        <v>5064574.5498429984</v>
      </c>
      <c r="BJ137" s="37">
        <f t="shared" si="517"/>
        <v>4352297.3171613719</v>
      </c>
      <c r="BK137" s="37">
        <f t="shared" si="517"/>
        <v>3615946.4930337514</v>
      </c>
      <c r="BL137" s="37">
        <f t="shared" si="517"/>
        <v>2651260.3001999701</v>
      </c>
      <c r="BM137" s="37">
        <f t="shared" si="517"/>
        <v>1838306.9566519507</v>
      </c>
      <c r="BN137" s="37">
        <f t="shared" si="517"/>
        <v>1000000.0000000002</v>
      </c>
    </row>
    <row r="139" spans="1:66" x14ac:dyDescent="0.3">
      <c r="C139" t="s">
        <v>131</v>
      </c>
      <c r="G139" s="37">
        <f>G$23</f>
        <v>50550</v>
      </c>
      <c r="H139" s="37">
        <f t="shared" ref="H139:BN139" si="518">H$23</f>
        <v>100620</v>
      </c>
      <c r="I139" s="37">
        <f t="shared" si="518"/>
        <v>151290</v>
      </c>
      <c r="J139" s="37">
        <f t="shared" si="518"/>
        <v>202560</v>
      </c>
      <c r="K139" s="37">
        <f t="shared" si="518"/>
        <v>255480</v>
      </c>
      <c r="L139" s="37">
        <f t="shared" si="518"/>
        <v>310410</v>
      </c>
      <c r="M139" s="37">
        <f t="shared" si="518"/>
        <v>368070</v>
      </c>
      <c r="N139" s="37">
        <f t="shared" si="518"/>
        <v>428790</v>
      </c>
      <c r="O139" s="37">
        <f t="shared" si="518"/>
        <v>493290</v>
      </c>
      <c r="P139" s="37">
        <f t="shared" si="518"/>
        <v>561900</v>
      </c>
      <c r="Q139" s="37">
        <f t="shared" si="518"/>
        <v>634980</v>
      </c>
      <c r="R139" s="37">
        <f t="shared" si="518"/>
        <v>713220</v>
      </c>
      <c r="S139" s="37">
        <f t="shared" si="518"/>
        <v>791430</v>
      </c>
      <c r="T139" s="37">
        <f t="shared" si="518"/>
        <v>875550</v>
      </c>
      <c r="U139" s="37">
        <f t="shared" si="518"/>
        <v>966270</v>
      </c>
      <c r="V139" s="37">
        <f t="shared" si="518"/>
        <v>1064640</v>
      </c>
      <c r="W139" s="37">
        <f t="shared" si="518"/>
        <v>1171020</v>
      </c>
      <c r="X139" s="37">
        <f t="shared" si="518"/>
        <v>1286130</v>
      </c>
      <c r="Y139" s="37">
        <f t="shared" si="518"/>
        <v>1411020</v>
      </c>
      <c r="Z139" s="37">
        <f t="shared" si="518"/>
        <v>1546740</v>
      </c>
      <c r="AA139" s="37">
        <f t="shared" si="518"/>
        <v>1693980</v>
      </c>
      <c r="AB139" s="37">
        <f t="shared" si="518"/>
        <v>1854510</v>
      </c>
      <c r="AC139" s="37">
        <f t="shared" si="518"/>
        <v>2029050</v>
      </c>
      <c r="AD139" s="37">
        <f t="shared" si="518"/>
        <v>2218290</v>
      </c>
      <c r="AE139" s="37">
        <f t="shared" si="518"/>
        <v>2412810</v>
      </c>
      <c r="AF139" s="37">
        <f t="shared" si="518"/>
        <v>2624550</v>
      </c>
      <c r="AG139" s="37">
        <f t="shared" si="518"/>
        <v>2855280</v>
      </c>
      <c r="AH139" s="37">
        <f t="shared" si="518"/>
        <v>3107130</v>
      </c>
      <c r="AI139" s="37">
        <f t="shared" si="518"/>
        <v>3381150</v>
      </c>
      <c r="AJ139" s="37">
        <f t="shared" si="518"/>
        <v>3680160</v>
      </c>
      <c r="AK139" s="37">
        <f t="shared" si="518"/>
        <v>4006290</v>
      </c>
      <c r="AL139" s="37">
        <f t="shared" si="518"/>
        <v>4361700</v>
      </c>
      <c r="AM139" s="37">
        <f t="shared" si="518"/>
        <v>4749210</v>
      </c>
      <c r="AN139" s="37">
        <f t="shared" si="518"/>
        <v>5171640</v>
      </c>
      <c r="AO139" s="37">
        <f t="shared" si="518"/>
        <v>5633220</v>
      </c>
      <c r="AP139" s="37">
        <f t="shared" si="518"/>
        <v>6136830</v>
      </c>
      <c r="AQ139" s="37">
        <f t="shared" si="518"/>
        <v>6686040</v>
      </c>
      <c r="AR139" s="37">
        <f t="shared" si="518"/>
        <v>7286130</v>
      </c>
      <c r="AS139" s="37">
        <f t="shared" si="518"/>
        <v>7941720</v>
      </c>
      <c r="AT139" s="37">
        <f t="shared" si="518"/>
        <v>8657100</v>
      </c>
      <c r="AU139" s="37">
        <f t="shared" si="518"/>
        <v>9438990</v>
      </c>
      <c r="AV139" s="37">
        <f t="shared" si="518"/>
        <v>10293420</v>
      </c>
      <c r="AW139" s="37">
        <f t="shared" si="518"/>
        <v>11227170</v>
      </c>
      <c r="AX139" s="37">
        <f t="shared" si="518"/>
        <v>12248040</v>
      </c>
      <c r="AY139" s="37">
        <f t="shared" si="518"/>
        <v>13363860</v>
      </c>
      <c r="AZ139" s="37">
        <f t="shared" si="518"/>
        <v>14583180</v>
      </c>
      <c r="BA139" s="37">
        <f t="shared" si="518"/>
        <v>15916320</v>
      </c>
      <c r="BB139" s="37">
        <f t="shared" si="518"/>
        <v>17374290</v>
      </c>
      <c r="BC139" s="37">
        <f t="shared" si="518"/>
        <v>18968850</v>
      </c>
      <c r="BD139" s="37">
        <f t="shared" si="518"/>
        <v>20713200</v>
      </c>
      <c r="BE139" s="37">
        <f t="shared" si="518"/>
        <v>22620540</v>
      </c>
      <c r="BF139" s="37">
        <f t="shared" si="518"/>
        <v>24707550</v>
      </c>
      <c r="BG139" s="37">
        <f t="shared" si="518"/>
        <v>26991030</v>
      </c>
      <c r="BH139" s="37">
        <f t="shared" si="518"/>
        <v>29489880</v>
      </c>
      <c r="BI139" s="37">
        <f t="shared" si="518"/>
        <v>32224410</v>
      </c>
      <c r="BJ139" s="37">
        <f t="shared" si="518"/>
        <v>35217810</v>
      </c>
      <c r="BK139" s="37">
        <f t="shared" si="518"/>
        <v>38494350</v>
      </c>
      <c r="BL139" s="37">
        <f t="shared" si="518"/>
        <v>42080820</v>
      </c>
      <c r="BM139" s="37">
        <f t="shared" si="518"/>
        <v>46007190</v>
      </c>
      <c r="BN139" s="37">
        <f t="shared" si="518"/>
        <v>50306640</v>
      </c>
    </row>
    <row r="140" spans="1:66" x14ac:dyDescent="0.3">
      <c r="C140" t="s">
        <v>130</v>
      </c>
      <c r="E140" s="67">
        <f>Assumptions!E65</f>
        <v>5</v>
      </c>
      <c r="G140" s="27">
        <f>$E140</f>
        <v>5</v>
      </c>
      <c r="H140" s="27">
        <f t="shared" ref="H140:BN140" si="519">$E140</f>
        <v>5</v>
      </c>
      <c r="I140" s="27">
        <f t="shared" si="519"/>
        <v>5</v>
      </c>
      <c r="J140" s="27">
        <f t="shared" si="519"/>
        <v>5</v>
      </c>
      <c r="K140" s="27">
        <f t="shared" si="519"/>
        <v>5</v>
      </c>
      <c r="L140" s="27">
        <f t="shared" si="519"/>
        <v>5</v>
      </c>
      <c r="M140" s="27">
        <f t="shared" si="519"/>
        <v>5</v>
      </c>
      <c r="N140" s="27">
        <f t="shared" si="519"/>
        <v>5</v>
      </c>
      <c r="O140" s="27">
        <f t="shared" si="519"/>
        <v>5</v>
      </c>
      <c r="P140" s="27">
        <f t="shared" si="519"/>
        <v>5</v>
      </c>
      <c r="Q140" s="27">
        <f t="shared" si="519"/>
        <v>5</v>
      </c>
      <c r="R140" s="27">
        <f t="shared" si="519"/>
        <v>5</v>
      </c>
      <c r="S140" s="27">
        <f t="shared" si="519"/>
        <v>5</v>
      </c>
      <c r="T140" s="27">
        <f t="shared" si="519"/>
        <v>5</v>
      </c>
      <c r="U140" s="27">
        <f t="shared" si="519"/>
        <v>5</v>
      </c>
      <c r="V140" s="27">
        <f t="shared" si="519"/>
        <v>5</v>
      </c>
      <c r="W140" s="27">
        <f t="shared" si="519"/>
        <v>5</v>
      </c>
      <c r="X140" s="27">
        <f t="shared" si="519"/>
        <v>5</v>
      </c>
      <c r="Y140" s="27">
        <f t="shared" si="519"/>
        <v>5</v>
      </c>
      <c r="Z140" s="27">
        <f t="shared" si="519"/>
        <v>5</v>
      </c>
      <c r="AA140" s="27">
        <f t="shared" si="519"/>
        <v>5</v>
      </c>
      <c r="AB140" s="27">
        <f t="shared" si="519"/>
        <v>5</v>
      </c>
      <c r="AC140" s="27">
        <f t="shared" si="519"/>
        <v>5</v>
      </c>
      <c r="AD140" s="27">
        <f t="shared" si="519"/>
        <v>5</v>
      </c>
      <c r="AE140" s="27">
        <f t="shared" si="519"/>
        <v>5</v>
      </c>
      <c r="AF140" s="27">
        <f t="shared" si="519"/>
        <v>5</v>
      </c>
      <c r="AG140" s="27">
        <f t="shared" si="519"/>
        <v>5</v>
      </c>
      <c r="AH140" s="27">
        <f t="shared" si="519"/>
        <v>5</v>
      </c>
      <c r="AI140" s="27">
        <f t="shared" si="519"/>
        <v>5</v>
      </c>
      <c r="AJ140" s="27">
        <f t="shared" si="519"/>
        <v>5</v>
      </c>
      <c r="AK140" s="27">
        <f t="shared" si="519"/>
        <v>5</v>
      </c>
      <c r="AL140" s="27">
        <f t="shared" si="519"/>
        <v>5</v>
      </c>
      <c r="AM140" s="27">
        <f t="shared" si="519"/>
        <v>5</v>
      </c>
      <c r="AN140" s="27">
        <f t="shared" si="519"/>
        <v>5</v>
      </c>
      <c r="AO140" s="27">
        <f t="shared" si="519"/>
        <v>5</v>
      </c>
      <c r="AP140" s="27">
        <f t="shared" si="519"/>
        <v>5</v>
      </c>
      <c r="AQ140" s="27">
        <f t="shared" si="519"/>
        <v>5</v>
      </c>
      <c r="AR140" s="27">
        <f t="shared" si="519"/>
        <v>5</v>
      </c>
      <c r="AS140" s="27">
        <f t="shared" si="519"/>
        <v>5</v>
      </c>
      <c r="AT140" s="27">
        <f t="shared" si="519"/>
        <v>5</v>
      </c>
      <c r="AU140" s="27">
        <f t="shared" si="519"/>
        <v>5</v>
      </c>
      <c r="AV140" s="27">
        <f t="shared" si="519"/>
        <v>5</v>
      </c>
      <c r="AW140" s="27">
        <f t="shared" si="519"/>
        <v>5</v>
      </c>
      <c r="AX140" s="27">
        <f t="shared" si="519"/>
        <v>5</v>
      </c>
      <c r="AY140" s="27">
        <f t="shared" si="519"/>
        <v>5</v>
      </c>
      <c r="AZ140" s="27">
        <f t="shared" si="519"/>
        <v>5</v>
      </c>
      <c r="BA140" s="27">
        <f t="shared" si="519"/>
        <v>5</v>
      </c>
      <c r="BB140" s="27">
        <f t="shared" si="519"/>
        <v>5</v>
      </c>
      <c r="BC140" s="27">
        <f t="shared" si="519"/>
        <v>5</v>
      </c>
      <c r="BD140" s="27">
        <f t="shared" si="519"/>
        <v>5</v>
      </c>
      <c r="BE140" s="27">
        <f t="shared" si="519"/>
        <v>5</v>
      </c>
      <c r="BF140" s="27">
        <f t="shared" si="519"/>
        <v>5</v>
      </c>
      <c r="BG140" s="27">
        <f t="shared" si="519"/>
        <v>5</v>
      </c>
      <c r="BH140" s="27">
        <f t="shared" si="519"/>
        <v>5</v>
      </c>
      <c r="BI140" s="27">
        <f t="shared" si="519"/>
        <v>5</v>
      </c>
      <c r="BJ140" s="27">
        <f t="shared" si="519"/>
        <v>5</v>
      </c>
      <c r="BK140" s="27">
        <f t="shared" si="519"/>
        <v>5</v>
      </c>
      <c r="BL140" s="27">
        <f t="shared" si="519"/>
        <v>5</v>
      </c>
      <c r="BM140" s="27">
        <f t="shared" si="519"/>
        <v>5</v>
      </c>
      <c r="BN140" s="27">
        <f t="shared" si="519"/>
        <v>5</v>
      </c>
    </row>
    <row r="141" spans="1:66" x14ac:dyDescent="0.3">
      <c r="C141" s="11" t="s">
        <v>129</v>
      </c>
      <c r="D141" s="11"/>
      <c r="E141" s="11"/>
      <c r="F141" s="11"/>
      <c r="G141" s="46">
        <f>G139*(G140/360)</f>
        <v>702.08333333333326</v>
      </c>
      <c r="H141" s="46">
        <f>H139*(H140/360)</f>
        <v>1397.5</v>
      </c>
      <c r="I141" s="46">
        <f t="shared" ref="I141:K141" si="520">I139*(I140/360)</f>
        <v>2101.25</v>
      </c>
      <c r="J141" s="46">
        <f t="shared" si="520"/>
        <v>2813.333333333333</v>
      </c>
      <c r="K141" s="46">
        <f t="shared" si="520"/>
        <v>3548.333333333333</v>
      </c>
      <c r="L141" s="46">
        <f t="shared" ref="L141" si="521">L139*(L140/360)</f>
        <v>4311.25</v>
      </c>
      <c r="M141" s="46">
        <f t="shared" ref="M141" si="522">M139*(M140/360)</f>
        <v>5112.083333333333</v>
      </c>
      <c r="N141" s="46">
        <f t="shared" ref="N141" si="523">N139*(N140/360)</f>
        <v>5955.4166666666661</v>
      </c>
      <c r="O141" s="46">
        <f t="shared" ref="O141" si="524">O139*(O140/360)</f>
        <v>6851.25</v>
      </c>
      <c r="P141" s="46">
        <f t="shared" ref="P141" si="525">P139*(P140/360)</f>
        <v>7804.1666666666661</v>
      </c>
      <c r="Q141" s="46">
        <f t="shared" ref="Q141" si="526">Q139*(Q140/360)</f>
        <v>8819.1666666666661</v>
      </c>
      <c r="R141" s="46">
        <f t="shared" ref="R141" si="527">R139*(R140/360)</f>
        <v>9905.8333333333321</v>
      </c>
      <c r="S141" s="46">
        <f t="shared" ref="S141" si="528">S139*(S140/360)</f>
        <v>10992.083333333332</v>
      </c>
      <c r="T141" s="46">
        <f t="shared" ref="T141" si="529">T139*(T140/360)</f>
        <v>12160.416666666666</v>
      </c>
      <c r="U141" s="46">
        <f t="shared" ref="U141" si="530">U139*(U140/360)</f>
        <v>13420.416666666666</v>
      </c>
      <c r="V141" s="46">
        <f t="shared" ref="V141" si="531">V139*(V140/360)</f>
        <v>14786.666666666666</v>
      </c>
      <c r="W141" s="46">
        <f t="shared" ref="W141" si="532">W139*(W140/360)</f>
        <v>16264.166666666666</v>
      </c>
      <c r="X141" s="46">
        <f t="shared" ref="X141" si="533">X139*(X140/360)</f>
        <v>17862.916666666664</v>
      </c>
      <c r="Y141" s="46">
        <f t="shared" ref="Y141" si="534">Y139*(Y140/360)</f>
        <v>19597.5</v>
      </c>
      <c r="Z141" s="46">
        <f t="shared" ref="Z141" si="535">Z139*(Z140/360)</f>
        <v>21482.5</v>
      </c>
      <c r="AA141" s="46">
        <f t="shared" ref="AA141" si="536">AA139*(AA140/360)</f>
        <v>23527.5</v>
      </c>
      <c r="AB141" s="46">
        <f t="shared" ref="AB141" si="537">AB139*(AB140/360)</f>
        <v>25757.083333333332</v>
      </c>
      <c r="AC141" s="46">
        <f t="shared" ref="AC141" si="538">AC139*(AC140/360)</f>
        <v>28181.25</v>
      </c>
      <c r="AD141" s="46">
        <f t="shared" ref="AD141" si="539">AD139*(AD140/360)</f>
        <v>30809.583333333332</v>
      </c>
      <c r="AE141" s="46">
        <f t="shared" ref="AE141:BN141" si="540">AE139*(AE140/360)</f>
        <v>33511.25</v>
      </c>
      <c r="AF141" s="46">
        <f t="shared" si="540"/>
        <v>36452.083333333328</v>
      </c>
      <c r="AG141" s="46">
        <f t="shared" si="540"/>
        <v>39656.666666666664</v>
      </c>
      <c r="AH141" s="46">
        <f t="shared" si="540"/>
        <v>43154.583333333328</v>
      </c>
      <c r="AI141" s="46">
        <f t="shared" si="540"/>
        <v>46960.416666666664</v>
      </c>
      <c r="AJ141" s="46">
        <f t="shared" si="540"/>
        <v>51113.333333333328</v>
      </c>
      <c r="AK141" s="46">
        <f t="shared" si="540"/>
        <v>55642.916666666664</v>
      </c>
      <c r="AL141" s="46">
        <f t="shared" si="540"/>
        <v>60579.166666666664</v>
      </c>
      <c r="AM141" s="46">
        <f t="shared" si="540"/>
        <v>65961.25</v>
      </c>
      <c r="AN141" s="46">
        <f t="shared" si="540"/>
        <v>71828.333333333328</v>
      </c>
      <c r="AO141" s="46">
        <f t="shared" si="540"/>
        <v>78239.166666666657</v>
      </c>
      <c r="AP141" s="46">
        <f t="shared" si="540"/>
        <v>85233.75</v>
      </c>
      <c r="AQ141" s="46">
        <f t="shared" si="540"/>
        <v>92861.666666666657</v>
      </c>
      <c r="AR141" s="46">
        <f t="shared" si="540"/>
        <v>101196.25</v>
      </c>
      <c r="AS141" s="46">
        <f t="shared" si="540"/>
        <v>110301.66666666666</v>
      </c>
      <c r="AT141" s="46">
        <f t="shared" si="540"/>
        <v>120237.5</v>
      </c>
      <c r="AU141" s="46">
        <f t="shared" si="540"/>
        <v>131097.08333333331</v>
      </c>
      <c r="AV141" s="46">
        <f t="shared" si="540"/>
        <v>142964.16666666666</v>
      </c>
      <c r="AW141" s="46">
        <f t="shared" si="540"/>
        <v>155932.91666666666</v>
      </c>
      <c r="AX141" s="46">
        <f t="shared" si="540"/>
        <v>170111.66666666666</v>
      </c>
      <c r="AY141" s="46">
        <f t="shared" si="540"/>
        <v>185609.16666666666</v>
      </c>
      <c r="AZ141" s="46">
        <f t="shared" si="540"/>
        <v>202544.16666666666</v>
      </c>
      <c r="BA141" s="46">
        <f t="shared" si="540"/>
        <v>221060</v>
      </c>
      <c r="BB141" s="46">
        <f t="shared" si="540"/>
        <v>241309.58333333331</v>
      </c>
      <c r="BC141" s="46">
        <f t="shared" si="540"/>
        <v>263456.25</v>
      </c>
      <c r="BD141" s="46">
        <f t="shared" si="540"/>
        <v>287683.33333333331</v>
      </c>
      <c r="BE141" s="46">
        <f t="shared" si="540"/>
        <v>314174.16666666663</v>
      </c>
      <c r="BF141" s="46">
        <f t="shared" si="540"/>
        <v>343160.41666666663</v>
      </c>
      <c r="BG141" s="46">
        <f t="shared" si="540"/>
        <v>374875.41666666663</v>
      </c>
      <c r="BH141" s="46">
        <f t="shared" si="540"/>
        <v>409581.66666666663</v>
      </c>
      <c r="BI141" s="46">
        <f t="shared" si="540"/>
        <v>447561.25</v>
      </c>
      <c r="BJ141" s="46">
        <f t="shared" si="540"/>
        <v>489136.25</v>
      </c>
      <c r="BK141" s="46">
        <f t="shared" si="540"/>
        <v>534643.75</v>
      </c>
      <c r="BL141" s="46">
        <f t="shared" si="540"/>
        <v>584455.83333333326</v>
      </c>
      <c r="BM141" s="46">
        <f t="shared" si="540"/>
        <v>638988.75</v>
      </c>
      <c r="BN141" s="46">
        <f t="shared" si="540"/>
        <v>698703.33333333326</v>
      </c>
    </row>
    <row r="142" spans="1:66" ht="3" customHeight="1" x14ac:dyDescent="0.3">
      <c r="G142" s="34"/>
    </row>
    <row r="143" spans="1:66" x14ac:dyDescent="0.3">
      <c r="C143" s="31" t="s">
        <v>123</v>
      </c>
      <c r="D143" s="32"/>
      <c r="E143" s="32"/>
      <c r="F143" s="32"/>
      <c r="G143" s="39">
        <f>SUM(G137, G141)</f>
        <v>938326.25</v>
      </c>
      <c r="H143" s="39">
        <f>SUM(H137, H141)</f>
        <v>877675.25</v>
      </c>
      <c r="I143" s="39">
        <f>SUM(I137, I141)</f>
        <v>818014.4</v>
      </c>
      <c r="J143" s="39">
        <f>SUM(J137, J141)</f>
        <v>741159.9</v>
      </c>
      <c r="K143" s="39">
        <f>SUM(K137, K141)</f>
        <v>666091.5</v>
      </c>
      <c r="L143" s="39">
        <f t="shared" ref="L143:M143" si="541">SUM(L137, L141)</f>
        <v>591989.19999999995</v>
      </c>
      <c r="M143" s="39">
        <f t="shared" si="541"/>
        <v>494180.73999999993</v>
      </c>
      <c r="N143" s="39">
        <f t="shared" ref="N143:Q143" si="542">SUM(N137, N141)</f>
        <v>399022.85</v>
      </c>
      <c r="O143" s="39">
        <f t="shared" si="542"/>
        <v>304937.48</v>
      </c>
      <c r="P143" s="39">
        <f t="shared" si="542"/>
        <v>174798.59789999996</v>
      </c>
      <c r="Q143" s="39">
        <f t="shared" si="542"/>
        <v>21447472.111093868</v>
      </c>
      <c r="R143" s="39">
        <f t="shared" ref="R143:AD143" si="543">SUM(R137, R141)</f>
        <v>21316518.059993867</v>
      </c>
      <c r="S143" s="39">
        <f t="shared" si="543"/>
        <v>21174271.383930866</v>
      </c>
      <c r="T143" s="39">
        <f t="shared" si="543"/>
        <v>21038139.213309869</v>
      </c>
      <c r="U143" s="39">
        <f t="shared" si="543"/>
        <v>20904906.746255871</v>
      </c>
      <c r="V143" s="39">
        <f t="shared" si="543"/>
        <v>20728400.968624592</v>
      </c>
      <c r="W143" s="39">
        <f t="shared" si="543"/>
        <v>20560167.43357427</v>
      </c>
      <c r="X143" s="39">
        <f t="shared" si="543"/>
        <v>20395512.74432366</v>
      </c>
      <c r="Y143" s="39">
        <f t="shared" si="543"/>
        <v>20204572.257019985</v>
      </c>
      <c r="Z143" s="39">
        <f t="shared" si="543"/>
        <v>20006720.183050375</v>
      </c>
      <c r="AA143" s="39">
        <f t="shared" si="543"/>
        <v>19813775.932068527</v>
      </c>
      <c r="AB143" s="39">
        <f t="shared" si="543"/>
        <v>19593874.929197054</v>
      </c>
      <c r="AC143" s="39">
        <f t="shared" si="543"/>
        <v>19370281.396338455</v>
      </c>
      <c r="AD143" s="39">
        <f t="shared" si="543"/>
        <v>19132718.009546112</v>
      </c>
      <c r="AE143" s="39">
        <f t="shared" ref="AE143:BN143" si="544">SUM(AE137, AE141)</f>
        <v>18875196.27079102</v>
      </c>
      <c r="AF143" s="39">
        <f t="shared" si="544"/>
        <v>18612875.116759703</v>
      </c>
      <c r="AG143" s="39">
        <f t="shared" si="544"/>
        <v>18353502.945392117</v>
      </c>
      <c r="AH143" s="39">
        <f t="shared" si="544"/>
        <v>18048512.81080972</v>
      </c>
      <c r="AI143" s="39">
        <f t="shared" si="544"/>
        <v>17768748.724111035</v>
      </c>
      <c r="AJ143" s="39">
        <f t="shared" si="544"/>
        <v>17476812.968580924</v>
      </c>
      <c r="AK143" s="39">
        <f t="shared" si="544"/>
        <v>17140486.457511012</v>
      </c>
      <c r="AL143" s="39">
        <f t="shared" si="544"/>
        <v>16829381.541559063</v>
      </c>
      <c r="AM143" s="39">
        <f t="shared" si="544"/>
        <v>16503901.321971539</v>
      </c>
      <c r="AN143" s="39">
        <f t="shared" si="544"/>
        <v>16134183.558692012</v>
      </c>
      <c r="AO143" s="39">
        <f t="shared" si="544"/>
        <v>15782193.753381671</v>
      </c>
      <c r="AP143" s="39">
        <f t="shared" si="544"/>
        <v>15420387.230285505</v>
      </c>
      <c r="AQ143" s="39">
        <f t="shared" si="544"/>
        <v>15017274.161321666</v>
      </c>
      <c r="AR143" s="39">
        <f t="shared" si="544"/>
        <v>14638643.145635281</v>
      </c>
      <c r="AS143" s="39">
        <f t="shared" si="544"/>
        <v>14257520.994564295</v>
      </c>
      <c r="AT143" s="39">
        <f t="shared" si="544"/>
        <v>13806738.760408461</v>
      </c>
      <c r="AU143" s="39">
        <f t="shared" si="544"/>
        <v>13393771.00488917</v>
      </c>
      <c r="AV143" s="39">
        <f t="shared" si="544"/>
        <v>12968002.265626153</v>
      </c>
      <c r="AW143" s="39">
        <f t="shared" si="544"/>
        <v>12467068.767007746</v>
      </c>
      <c r="AX143" s="39">
        <f t="shared" si="544"/>
        <v>12007923.02305855</v>
      </c>
      <c r="AY143" s="39">
        <f t="shared" si="544"/>
        <v>11541271.927603442</v>
      </c>
      <c r="AZ143" s="39">
        <f t="shared" si="544"/>
        <v>10976181.776337042</v>
      </c>
      <c r="BA143" s="39">
        <f t="shared" si="544"/>
        <v>10475600.646985132</v>
      </c>
      <c r="BB143" s="39">
        <f t="shared" si="544"/>
        <v>9959522.2815016918</v>
      </c>
      <c r="BC143" s="39">
        <f t="shared" si="544"/>
        <v>9347217.0778675321</v>
      </c>
      <c r="BD143" s="39">
        <f t="shared" si="544"/>
        <v>8796868.9183877818</v>
      </c>
      <c r="BE143" s="39">
        <f t="shared" si="544"/>
        <v>8228592.6959303226</v>
      </c>
      <c r="BF143" s="39">
        <f t="shared" si="544"/>
        <v>7526086.2361539016</v>
      </c>
      <c r="BG143" s="39">
        <f t="shared" si="544"/>
        <v>6931236.6638878128</v>
      </c>
      <c r="BH143" s="39">
        <f t="shared" si="544"/>
        <v>6309545.4495398188</v>
      </c>
      <c r="BI143" s="39">
        <f t="shared" si="544"/>
        <v>5512135.7998429984</v>
      </c>
      <c r="BJ143" s="39">
        <f t="shared" si="544"/>
        <v>4841433.5671613719</v>
      </c>
      <c r="BK143" s="39">
        <f t="shared" si="544"/>
        <v>4150590.2430337514</v>
      </c>
      <c r="BL143" s="39">
        <f t="shared" si="544"/>
        <v>3235716.1335333036</v>
      </c>
      <c r="BM143" s="39">
        <f t="shared" si="544"/>
        <v>2477295.7066519507</v>
      </c>
      <c r="BN143" s="39">
        <f t="shared" si="544"/>
        <v>1698703.3333333335</v>
      </c>
    </row>
    <row r="145" spans="2:66" x14ac:dyDescent="0.3">
      <c r="B145" s="22" t="s">
        <v>0</v>
      </c>
      <c r="C145" s="4" t="s">
        <v>122</v>
      </c>
      <c r="E145" s="63"/>
    </row>
    <row r="146" spans="2:66" ht="3" customHeight="1" x14ac:dyDescent="0.3">
      <c r="B146" s="22"/>
      <c r="C146" s="4"/>
    </row>
    <row r="147" spans="2:66" x14ac:dyDescent="0.3">
      <c r="B147" s="22"/>
      <c r="C147" t="s">
        <v>131</v>
      </c>
      <c r="E147" s="82"/>
      <c r="G147" s="37">
        <f>G$23</f>
        <v>50550</v>
      </c>
      <c r="H147" s="37">
        <f t="shared" ref="H147:BN147" si="545">H$23</f>
        <v>100620</v>
      </c>
      <c r="I147" s="37">
        <f t="shared" si="545"/>
        <v>151290</v>
      </c>
      <c r="J147" s="37">
        <f t="shared" si="545"/>
        <v>202560</v>
      </c>
      <c r="K147" s="37">
        <f t="shared" si="545"/>
        <v>255480</v>
      </c>
      <c r="L147" s="37">
        <f t="shared" si="545"/>
        <v>310410</v>
      </c>
      <c r="M147" s="37">
        <f t="shared" si="545"/>
        <v>368070</v>
      </c>
      <c r="N147" s="37">
        <f t="shared" si="545"/>
        <v>428790</v>
      </c>
      <c r="O147" s="37">
        <f t="shared" si="545"/>
        <v>493290</v>
      </c>
      <c r="P147" s="37">
        <f t="shared" si="545"/>
        <v>561900</v>
      </c>
      <c r="Q147" s="37">
        <f t="shared" si="545"/>
        <v>634980</v>
      </c>
      <c r="R147" s="37">
        <f t="shared" si="545"/>
        <v>713220</v>
      </c>
      <c r="S147" s="37">
        <f t="shared" si="545"/>
        <v>791430</v>
      </c>
      <c r="T147" s="37">
        <f t="shared" si="545"/>
        <v>875550</v>
      </c>
      <c r="U147" s="37">
        <f t="shared" si="545"/>
        <v>966270</v>
      </c>
      <c r="V147" s="37">
        <f t="shared" si="545"/>
        <v>1064640</v>
      </c>
      <c r="W147" s="37">
        <f t="shared" si="545"/>
        <v>1171020</v>
      </c>
      <c r="X147" s="37">
        <f t="shared" si="545"/>
        <v>1286130</v>
      </c>
      <c r="Y147" s="37">
        <f t="shared" si="545"/>
        <v>1411020</v>
      </c>
      <c r="Z147" s="37">
        <f t="shared" si="545"/>
        <v>1546740</v>
      </c>
      <c r="AA147" s="37">
        <f t="shared" si="545"/>
        <v>1693980</v>
      </c>
      <c r="AB147" s="37">
        <f t="shared" si="545"/>
        <v>1854510</v>
      </c>
      <c r="AC147" s="37">
        <f t="shared" si="545"/>
        <v>2029050</v>
      </c>
      <c r="AD147" s="37">
        <f t="shared" si="545"/>
        <v>2218290</v>
      </c>
      <c r="AE147" s="37">
        <f t="shared" si="545"/>
        <v>2412810</v>
      </c>
      <c r="AF147" s="37">
        <f t="shared" si="545"/>
        <v>2624550</v>
      </c>
      <c r="AG147" s="37">
        <f t="shared" si="545"/>
        <v>2855280</v>
      </c>
      <c r="AH147" s="37">
        <f t="shared" si="545"/>
        <v>3107130</v>
      </c>
      <c r="AI147" s="37">
        <f t="shared" si="545"/>
        <v>3381150</v>
      </c>
      <c r="AJ147" s="37">
        <f t="shared" si="545"/>
        <v>3680160</v>
      </c>
      <c r="AK147" s="37">
        <f t="shared" si="545"/>
        <v>4006290</v>
      </c>
      <c r="AL147" s="37">
        <f t="shared" si="545"/>
        <v>4361700</v>
      </c>
      <c r="AM147" s="37">
        <f t="shared" si="545"/>
        <v>4749210</v>
      </c>
      <c r="AN147" s="37">
        <f t="shared" si="545"/>
        <v>5171640</v>
      </c>
      <c r="AO147" s="37">
        <f t="shared" si="545"/>
        <v>5633220</v>
      </c>
      <c r="AP147" s="37">
        <f t="shared" si="545"/>
        <v>6136830</v>
      </c>
      <c r="AQ147" s="37">
        <f t="shared" si="545"/>
        <v>6686040</v>
      </c>
      <c r="AR147" s="37">
        <f t="shared" si="545"/>
        <v>7286130</v>
      </c>
      <c r="AS147" s="37">
        <f t="shared" si="545"/>
        <v>7941720</v>
      </c>
      <c r="AT147" s="37">
        <f t="shared" si="545"/>
        <v>8657100</v>
      </c>
      <c r="AU147" s="37">
        <f t="shared" si="545"/>
        <v>9438990</v>
      </c>
      <c r="AV147" s="37">
        <f t="shared" si="545"/>
        <v>10293420</v>
      </c>
      <c r="AW147" s="37">
        <f t="shared" si="545"/>
        <v>11227170</v>
      </c>
      <c r="AX147" s="37">
        <f t="shared" si="545"/>
        <v>12248040</v>
      </c>
      <c r="AY147" s="37">
        <f t="shared" si="545"/>
        <v>13363860</v>
      </c>
      <c r="AZ147" s="37">
        <f t="shared" si="545"/>
        <v>14583180</v>
      </c>
      <c r="BA147" s="37">
        <f t="shared" si="545"/>
        <v>15916320</v>
      </c>
      <c r="BB147" s="37">
        <f t="shared" si="545"/>
        <v>17374290</v>
      </c>
      <c r="BC147" s="37">
        <f t="shared" si="545"/>
        <v>18968850</v>
      </c>
      <c r="BD147" s="37">
        <f t="shared" si="545"/>
        <v>20713200</v>
      </c>
      <c r="BE147" s="37">
        <f t="shared" si="545"/>
        <v>22620540</v>
      </c>
      <c r="BF147" s="37">
        <f t="shared" si="545"/>
        <v>24707550</v>
      </c>
      <c r="BG147" s="37">
        <f t="shared" si="545"/>
        <v>26991030</v>
      </c>
      <c r="BH147" s="37">
        <f t="shared" si="545"/>
        <v>29489880</v>
      </c>
      <c r="BI147" s="37">
        <f t="shared" si="545"/>
        <v>32224410</v>
      </c>
      <c r="BJ147" s="37">
        <f t="shared" si="545"/>
        <v>35217810</v>
      </c>
      <c r="BK147" s="37">
        <f t="shared" si="545"/>
        <v>38494350</v>
      </c>
      <c r="BL147" s="37">
        <f t="shared" si="545"/>
        <v>42080820</v>
      </c>
      <c r="BM147" s="37">
        <f t="shared" si="545"/>
        <v>46007190</v>
      </c>
      <c r="BN147" s="37">
        <f t="shared" si="545"/>
        <v>50306640</v>
      </c>
    </row>
    <row r="148" spans="2:66" x14ac:dyDescent="0.3">
      <c r="B148" s="22"/>
      <c r="C148" s="6" t="s">
        <v>133</v>
      </c>
      <c r="E148" s="68">
        <f>Assumptions!E66</f>
        <v>0.05</v>
      </c>
      <c r="G148" s="70">
        <f>$E148</f>
        <v>0.05</v>
      </c>
      <c r="H148" s="70">
        <f t="shared" ref="H148:BN148" si="546">$E148</f>
        <v>0.05</v>
      </c>
      <c r="I148" s="70">
        <f t="shared" si="546"/>
        <v>0.05</v>
      </c>
      <c r="J148" s="70">
        <f t="shared" si="546"/>
        <v>0.05</v>
      </c>
      <c r="K148" s="70">
        <f t="shared" si="546"/>
        <v>0.05</v>
      </c>
      <c r="L148" s="70">
        <f t="shared" si="546"/>
        <v>0.05</v>
      </c>
      <c r="M148" s="70">
        <f t="shared" si="546"/>
        <v>0.05</v>
      </c>
      <c r="N148" s="70">
        <f t="shared" si="546"/>
        <v>0.05</v>
      </c>
      <c r="O148" s="70">
        <f t="shared" si="546"/>
        <v>0.05</v>
      </c>
      <c r="P148" s="70">
        <f t="shared" si="546"/>
        <v>0.05</v>
      </c>
      <c r="Q148" s="70">
        <f t="shared" si="546"/>
        <v>0.05</v>
      </c>
      <c r="R148" s="70">
        <f t="shared" si="546"/>
        <v>0.05</v>
      </c>
      <c r="S148" s="70">
        <f t="shared" si="546"/>
        <v>0.05</v>
      </c>
      <c r="T148" s="70">
        <f t="shared" si="546"/>
        <v>0.05</v>
      </c>
      <c r="U148" s="70">
        <f t="shared" si="546"/>
        <v>0.05</v>
      </c>
      <c r="V148" s="70">
        <f t="shared" si="546"/>
        <v>0.05</v>
      </c>
      <c r="W148" s="70">
        <f t="shared" si="546"/>
        <v>0.05</v>
      </c>
      <c r="X148" s="70">
        <f t="shared" si="546"/>
        <v>0.05</v>
      </c>
      <c r="Y148" s="70">
        <f t="shared" si="546"/>
        <v>0.05</v>
      </c>
      <c r="Z148" s="70">
        <f t="shared" si="546"/>
        <v>0.05</v>
      </c>
      <c r="AA148" s="70">
        <f t="shared" si="546"/>
        <v>0.05</v>
      </c>
      <c r="AB148" s="70">
        <f t="shared" si="546"/>
        <v>0.05</v>
      </c>
      <c r="AC148" s="70">
        <f t="shared" si="546"/>
        <v>0.05</v>
      </c>
      <c r="AD148" s="70">
        <f t="shared" si="546"/>
        <v>0.05</v>
      </c>
      <c r="AE148" s="70">
        <f t="shared" si="546"/>
        <v>0.05</v>
      </c>
      <c r="AF148" s="70">
        <f t="shared" si="546"/>
        <v>0.05</v>
      </c>
      <c r="AG148" s="70">
        <f t="shared" si="546"/>
        <v>0.05</v>
      </c>
      <c r="AH148" s="70">
        <f t="shared" si="546"/>
        <v>0.05</v>
      </c>
      <c r="AI148" s="70">
        <f t="shared" si="546"/>
        <v>0.05</v>
      </c>
      <c r="AJ148" s="70">
        <f t="shared" si="546"/>
        <v>0.05</v>
      </c>
      <c r="AK148" s="70">
        <f t="shared" si="546"/>
        <v>0.05</v>
      </c>
      <c r="AL148" s="70">
        <f t="shared" si="546"/>
        <v>0.05</v>
      </c>
      <c r="AM148" s="70">
        <f t="shared" si="546"/>
        <v>0.05</v>
      </c>
      <c r="AN148" s="70">
        <f t="shared" si="546"/>
        <v>0.05</v>
      </c>
      <c r="AO148" s="70">
        <f t="shared" si="546"/>
        <v>0.05</v>
      </c>
      <c r="AP148" s="70">
        <f t="shared" si="546"/>
        <v>0.05</v>
      </c>
      <c r="AQ148" s="70">
        <f t="shared" si="546"/>
        <v>0.05</v>
      </c>
      <c r="AR148" s="70">
        <f t="shared" si="546"/>
        <v>0.05</v>
      </c>
      <c r="AS148" s="70">
        <f t="shared" si="546"/>
        <v>0.05</v>
      </c>
      <c r="AT148" s="70">
        <f t="shared" si="546"/>
        <v>0.05</v>
      </c>
      <c r="AU148" s="70">
        <f t="shared" si="546"/>
        <v>0.05</v>
      </c>
      <c r="AV148" s="70">
        <f t="shared" si="546"/>
        <v>0.05</v>
      </c>
      <c r="AW148" s="70">
        <f t="shared" si="546"/>
        <v>0.05</v>
      </c>
      <c r="AX148" s="70">
        <f t="shared" si="546"/>
        <v>0.05</v>
      </c>
      <c r="AY148" s="70">
        <f t="shared" si="546"/>
        <v>0.05</v>
      </c>
      <c r="AZ148" s="70">
        <f t="shared" si="546"/>
        <v>0.05</v>
      </c>
      <c r="BA148" s="70">
        <f t="shared" si="546"/>
        <v>0.05</v>
      </c>
      <c r="BB148" s="70">
        <f t="shared" si="546"/>
        <v>0.05</v>
      </c>
      <c r="BC148" s="70">
        <f t="shared" si="546"/>
        <v>0.05</v>
      </c>
      <c r="BD148" s="70">
        <f t="shared" si="546"/>
        <v>0.05</v>
      </c>
      <c r="BE148" s="70">
        <f t="shared" si="546"/>
        <v>0.05</v>
      </c>
      <c r="BF148" s="70">
        <f t="shared" si="546"/>
        <v>0.05</v>
      </c>
      <c r="BG148" s="70">
        <f t="shared" si="546"/>
        <v>0.05</v>
      </c>
      <c r="BH148" s="70">
        <f t="shared" si="546"/>
        <v>0.05</v>
      </c>
      <c r="BI148" s="70">
        <f t="shared" si="546"/>
        <v>0.05</v>
      </c>
      <c r="BJ148" s="70">
        <f t="shared" si="546"/>
        <v>0.05</v>
      </c>
      <c r="BK148" s="70">
        <f t="shared" si="546"/>
        <v>0.05</v>
      </c>
      <c r="BL148" s="70">
        <f t="shared" si="546"/>
        <v>0.05</v>
      </c>
      <c r="BM148" s="70">
        <f t="shared" si="546"/>
        <v>0.05</v>
      </c>
      <c r="BN148" s="70">
        <f t="shared" si="546"/>
        <v>0.05</v>
      </c>
    </row>
    <row r="149" spans="2:66" x14ac:dyDescent="0.3">
      <c r="B149" s="22"/>
      <c r="C149" s="11" t="s">
        <v>132</v>
      </c>
      <c r="D149" s="11"/>
      <c r="E149" s="11"/>
      <c r="F149" s="11"/>
      <c r="G149" s="46">
        <f>G147*G148</f>
        <v>2527.5</v>
      </c>
      <c r="H149" s="46">
        <f t="shared" ref="H149:AD149" si="547">H147*H148</f>
        <v>5031</v>
      </c>
      <c r="I149" s="46">
        <f t="shared" si="547"/>
        <v>7564.5</v>
      </c>
      <c r="J149" s="46">
        <f t="shared" si="547"/>
        <v>10128</v>
      </c>
      <c r="K149" s="46">
        <f t="shared" si="547"/>
        <v>12774</v>
      </c>
      <c r="L149" s="46">
        <f t="shared" si="547"/>
        <v>15520.5</v>
      </c>
      <c r="M149" s="46">
        <f t="shared" si="547"/>
        <v>18403.5</v>
      </c>
      <c r="N149" s="46">
        <f t="shared" si="547"/>
        <v>21439.5</v>
      </c>
      <c r="O149" s="46">
        <f t="shared" si="547"/>
        <v>24664.5</v>
      </c>
      <c r="P149" s="46">
        <f t="shared" si="547"/>
        <v>28095</v>
      </c>
      <c r="Q149" s="46">
        <f t="shared" si="547"/>
        <v>31749</v>
      </c>
      <c r="R149" s="46">
        <f t="shared" si="547"/>
        <v>35661</v>
      </c>
      <c r="S149" s="46">
        <f t="shared" si="547"/>
        <v>39571.5</v>
      </c>
      <c r="T149" s="46">
        <f t="shared" si="547"/>
        <v>43777.5</v>
      </c>
      <c r="U149" s="46">
        <f t="shared" si="547"/>
        <v>48313.5</v>
      </c>
      <c r="V149" s="46">
        <f t="shared" si="547"/>
        <v>53232</v>
      </c>
      <c r="W149" s="46">
        <f t="shared" si="547"/>
        <v>58551</v>
      </c>
      <c r="X149" s="46">
        <f t="shared" si="547"/>
        <v>64306.5</v>
      </c>
      <c r="Y149" s="46">
        <f t="shared" si="547"/>
        <v>70551</v>
      </c>
      <c r="Z149" s="46">
        <f t="shared" si="547"/>
        <v>77337</v>
      </c>
      <c r="AA149" s="46">
        <f t="shared" si="547"/>
        <v>84699</v>
      </c>
      <c r="AB149" s="46">
        <f t="shared" si="547"/>
        <v>92725.5</v>
      </c>
      <c r="AC149" s="46">
        <f t="shared" si="547"/>
        <v>101452.5</v>
      </c>
      <c r="AD149" s="46">
        <f t="shared" si="547"/>
        <v>110914.5</v>
      </c>
      <c r="AE149" s="46">
        <f t="shared" ref="AE149:BN149" si="548">AE147*AE148</f>
        <v>120640.5</v>
      </c>
      <c r="AF149" s="46">
        <f t="shared" si="548"/>
        <v>131227.5</v>
      </c>
      <c r="AG149" s="46">
        <f t="shared" si="548"/>
        <v>142764</v>
      </c>
      <c r="AH149" s="46">
        <f t="shared" si="548"/>
        <v>155356.5</v>
      </c>
      <c r="AI149" s="46">
        <f t="shared" si="548"/>
        <v>169057.5</v>
      </c>
      <c r="AJ149" s="46">
        <f t="shared" si="548"/>
        <v>184008</v>
      </c>
      <c r="AK149" s="46">
        <f t="shared" si="548"/>
        <v>200314.5</v>
      </c>
      <c r="AL149" s="46">
        <f t="shared" si="548"/>
        <v>218085</v>
      </c>
      <c r="AM149" s="46">
        <f t="shared" si="548"/>
        <v>237460.5</v>
      </c>
      <c r="AN149" s="46">
        <f t="shared" si="548"/>
        <v>258582</v>
      </c>
      <c r="AO149" s="46">
        <f t="shared" si="548"/>
        <v>281661</v>
      </c>
      <c r="AP149" s="46">
        <f t="shared" si="548"/>
        <v>306841.5</v>
      </c>
      <c r="AQ149" s="46">
        <f t="shared" si="548"/>
        <v>334302</v>
      </c>
      <c r="AR149" s="46">
        <f t="shared" si="548"/>
        <v>364306.5</v>
      </c>
      <c r="AS149" s="46">
        <f t="shared" si="548"/>
        <v>397086</v>
      </c>
      <c r="AT149" s="46">
        <f t="shared" si="548"/>
        <v>432855</v>
      </c>
      <c r="AU149" s="46">
        <f t="shared" si="548"/>
        <v>471949.5</v>
      </c>
      <c r="AV149" s="46">
        <f t="shared" si="548"/>
        <v>514671</v>
      </c>
      <c r="AW149" s="46">
        <f t="shared" si="548"/>
        <v>561358.5</v>
      </c>
      <c r="AX149" s="46">
        <f t="shared" si="548"/>
        <v>612402</v>
      </c>
      <c r="AY149" s="46">
        <f t="shared" si="548"/>
        <v>668193</v>
      </c>
      <c r="AZ149" s="46">
        <f t="shared" si="548"/>
        <v>729159</v>
      </c>
      <c r="BA149" s="46">
        <f t="shared" si="548"/>
        <v>795816</v>
      </c>
      <c r="BB149" s="46">
        <f t="shared" si="548"/>
        <v>868714.5</v>
      </c>
      <c r="BC149" s="46">
        <f t="shared" si="548"/>
        <v>948442.5</v>
      </c>
      <c r="BD149" s="46">
        <f t="shared" si="548"/>
        <v>1035660</v>
      </c>
      <c r="BE149" s="46">
        <f t="shared" si="548"/>
        <v>1131027</v>
      </c>
      <c r="BF149" s="46">
        <f t="shared" si="548"/>
        <v>1235377.5</v>
      </c>
      <c r="BG149" s="46">
        <f t="shared" si="548"/>
        <v>1349551.5</v>
      </c>
      <c r="BH149" s="46">
        <f t="shared" si="548"/>
        <v>1474494</v>
      </c>
      <c r="BI149" s="46">
        <f t="shared" si="548"/>
        <v>1611220.5</v>
      </c>
      <c r="BJ149" s="46">
        <f t="shared" si="548"/>
        <v>1760890.5</v>
      </c>
      <c r="BK149" s="46">
        <f t="shared" si="548"/>
        <v>1924717.5</v>
      </c>
      <c r="BL149" s="46">
        <f t="shared" si="548"/>
        <v>2104041</v>
      </c>
      <c r="BM149" s="46">
        <f t="shared" si="548"/>
        <v>2300359.5</v>
      </c>
      <c r="BN149" s="46">
        <f t="shared" si="548"/>
        <v>2515332</v>
      </c>
    </row>
    <row r="150" spans="2:66" x14ac:dyDescent="0.3">
      <c r="B150" s="22"/>
      <c r="C150" s="4"/>
    </row>
    <row r="151" spans="2:66" x14ac:dyDescent="0.3">
      <c r="B151" s="22"/>
      <c r="C151" t="s">
        <v>131</v>
      </c>
      <c r="G151" s="37">
        <f>G$23</f>
        <v>50550</v>
      </c>
      <c r="H151" s="37">
        <f t="shared" ref="H151:BN151" si="549">H$23</f>
        <v>100620</v>
      </c>
      <c r="I151" s="37">
        <f t="shared" si="549"/>
        <v>151290</v>
      </c>
      <c r="J151" s="37">
        <f t="shared" si="549"/>
        <v>202560</v>
      </c>
      <c r="K151" s="37">
        <f t="shared" si="549"/>
        <v>255480</v>
      </c>
      <c r="L151" s="37">
        <f t="shared" si="549"/>
        <v>310410</v>
      </c>
      <c r="M151" s="37">
        <f t="shared" si="549"/>
        <v>368070</v>
      </c>
      <c r="N151" s="37">
        <f t="shared" si="549"/>
        <v>428790</v>
      </c>
      <c r="O151" s="37">
        <f t="shared" si="549"/>
        <v>493290</v>
      </c>
      <c r="P151" s="37">
        <f t="shared" si="549"/>
        <v>561900</v>
      </c>
      <c r="Q151" s="37">
        <f t="shared" si="549"/>
        <v>634980</v>
      </c>
      <c r="R151" s="37">
        <f t="shared" si="549"/>
        <v>713220</v>
      </c>
      <c r="S151" s="37">
        <f t="shared" si="549"/>
        <v>791430</v>
      </c>
      <c r="T151" s="37">
        <f t="shared" si="549"/>
        <v>875550</v>
      </c>
      <c r="U151" s="37">
        <f t="shared" si="549"/>
        <v>966270</v>
      </c>
      <c r="V151" s="37">
        <f t="shared" si="549"/>
        <v>1064640</v>
      </c>
      <c r="W151" s="37">
        <f t="shared" si="549"/>
        <v>1171020</v>
      </c>
      <c r="X151" s="37">
        <f t="shared" si="549"/>
        <v>1286130</v>
      </c>
      <c r="Y151" s="37">
        <f t="shared" si="549"/>
        <v>1411020</v>
      </c>
      <c r="Z151" s="37">
        <f t="shared" si="549"/>
        <v>1546740</v>
      </c>
      <c r="AA151" s="37">
        <f t="shared" si="549"/>
        <v>1693980</v>
      </c>
      <c r="AB151" s="37">
        <f t="shared" si="549"/>
        <v>1854510</v>
      </c>
      <c r="AC151" s="37">
        <f t="shared" si="549"/>
        <v>2029050</v>
      </c>
      <c r="AD151" s="37">
        <f t="shared" si="549"/>
        <v>2218290</v>
      </c>
      <c r="AE151" s="37">
        <f t="shared" si="549"/>
        <v>2412810</v>
      </c>
      <c r="AF151" s="37">
        <f t="shared" si="549"/>
        <v>2624550</v>
      </c>
      <c r="AG151" s="37">
        <f t="shared" si="549"/>
        <v>2855280</v>
      </c>
      <c r="AH151" s="37">
        <f t="shared" si="549"/>
        <v>3107130</v>
      </c>
      <c r="AI151" s="37">
        <f t="shared" si="549"/>
        <v>3381150</v>
      </c>
      <c r="AJ151" s="37">
        <f t="shared" si="549"/>
        <v>3680160</v>
      </c>
      <c r="AK151" s="37">
        <f t="shared" si="549"/>
        <v>4006290</v>
      </c>
      <c r="AL151" s="37">
        <f t="shared" si="549"/>
        <v>4361700</v>
      </c>
      <c r="AM151" s="37">
        <f t="shared" si="549"/>
        <v>4749210</v>
      </c>
      <c r="AN151" s="37">
        <f t="shared" si="549"/>
        <v>5171640</v>
      </c>
      <c r="AO151" s="37">
        <f t="shared" si="549"/>
        <v>5633220</v>
      </c>
      <c r="AP151" s="37">
        <f t="shared" si="549"/>
        <v>6136830</v>
      </c>
      <c r="AQ151" s="37">
        <f t="shared" si="549"/>
        <v>6686040</v>
      </c>
      <c r="AR151" s="37">
        <f t="shared" si="549"/>
        <v>7286130</v>
      </c>
      <c r="AS151" s="37">
        <f t="shared" si="549"/>
        <v>7941720</v>
      </c>
      <c r="AT151" s="37">
        <f t="shared" si="549"/>
        <v>8657100</v>
      </c>
      <c r="AU151" s="37">
        <f t="shared" si="549"/>
        <v>9438990</v>
      </c>
      <c r="AV151" s="37">
        <f t="shared" si="549"/>
        <v>10293420</v>
      </c>
      <c r="AW151" s="37">
        <f t="shared" si="549"/>
        <v>11227170</v>
      </c>
      <c r="AX151" s="37">
        <f t="shared" si="549"/>
        <v>12248040</v>
      </c>
      <c r="AY151" s="37">
        <f t="shared" si="549"/>
        <v>13363860</v>
      </c>
      <c r="AZ151" s="37">
        <f t="shared" si="549"/>
        <v>14583180</v>
      </c>
      <c r="BA151" s="37">
        <f t="shared" si="549"/>
        <v>15916320</v>
      </c>
      <c r="BB151" s="37">
        <f t="shared" si="549"/>
        <v>17374290</v>
      </c>
      <c r="BC151" s="37">
        <f t="shared" si="549"/>
        <v>18968850</v>
      </c>
      <c r="BD151" s="37">
        <f t="shared" si="549"/>
        <v>20713200</v>
      </c>
      <c r="BE151" s="37">
        <f t="shared" si="549"/>
        <v>22620540</v>
      </c>
      <c r="BF151" s="37">
        <f t="shared" si="549"/>
        <v>24707550</v>
      </c>
      <c r="BG151" s="37">
        <f t="shared" si="549"/>
        <v>26991030</v>
      </c>
      <c r="BH151" s="37">
        <f t="shared" si="549"/>
        <v>29489880</v>
      </c>
      <c r="BI151" s="37">
        <f t="shared" si="549"/>
        <v>32224410</v>
      </c>
      <c r="BJ151" s="37">
        <f t="shared" si="549"/>
        <v>35217810</v>
      </c>
      <c r="BK151" s="37">
        <f t="shared" si="549"/>
        <v>38494350</v>
      </c>
      <c r="BL151" s="37">
        <f t="shared" si="549"/>
        <v>42080820</v>
      </c>
      <c r="BM151" s="37">
        <f t="shared" si="549"/>
        <v>46007190</v>
      </c>
      <c r="BN151" s="37">
        <f t="shared" si="549"/>
        <v>50306640</v>
      </c>
    </row>
    <row r="152" spans="2:66" x14ac:dyDescent="0.3">
      <c r="B152" s="22"/>
      <c r="C152" s="6" t="s">
        <v>133</v>
      </c>
      <c r="E152" s="68">
        <f>Assumptions!$E$67</f>
        <v>0.08</v>
      </c>
      <c r="F152" s="74">
        <f>Assumptions!E68</f>
        <v>-5.0000000000000001E-3</v>
      </c>
      <c r="G152" s="75">
        <f>E152</f>
        <v>0.08</v>
      </c>
      <c r="H152" s="75">
        <f>IF(MOD(MONTH(H$6)-1,3)=0,1,0)*$F152+G152</f>
        <v>0.08</v>
      </c>
      <c r="I152" s="75">
        <f t="shared" ref="I152:M152" si="550">IF(MOD(MONTH(I$6)-1,3)=0,1,0)*$F152+H152</f>
        <v>0.08</v>
      </c>
      <c r="J152" s="75">
        <f t="shared" si="550"/>
        <v>7.4999999999999997E-2</v>
      </c>
      <c r="K152" s="75">
        <f t="shared" si="550"/>
        <v>7.4999999999999997E-2</v>
      </c>
      <c r="L152" s="75">
        <f t="shared" si="550"/>
        <v>7.4999999999999997E-2</v>
      </c>
      <c r="M152" s="75">
        <f t="shared" si="550"/>
        <v>6.9999999999999993E-2</v>
      </c>
      <c r="N152" s="75">
        <f t="shared" ref="N152:Q152" si="551">IF(MOD(MONTH(N$6)-1,3)=0,1,0)*$F152+M152</f>
        <v>6.9999999999999993E-2</v>
      </c>
      <c r="O152" s="75">
        <f t="shared" si="551"/>
        <v>6.9999999999999993E-2</v>
      </c>
      <c r="P152" s="75">
        <f t="shared" si="551"/>
        <v>6.4999999999999988E-2</v>
      </c>
      <c r="Q152" s="75">
        <f t="shared" si="551"/>
        <v>6.4999999999999988E-2</v>
      </c>
      <c r="R152" s="75">
        <f t="shared" ref="R152:AD152" si="552">IF(MOD(MONTH(R$6)-1,3)=0,1,0)*$F152+Q152</f>
        <v>6.4999999999999988E-2</v>
      </c>
      <c r="S152" s="75">
        <f t="shared" si="552"/>
        <v>5.9999999999999991E-2</v>
      </c>
      <c r="T152" s="75">
        <f t="shared" si="552"/>
        <v>5.9999999999999991E-2</v>
      </c>
      <c r="U152" s="75">
        <f t="shared" si="552"/>
        <v>5.9999999999999991E-2</v>
      </c>
      <c r="V152" s="75">
        <f t="shared" si="552"/>
        <v>5.4999999999999993E-2</v>
      </c>
      <c r="W152" s="75">
        <f t="shared" si="552"/>
        <v>5.4999999999999993E-2</v>
      </c>
      <c r="X152" s="75">
        <f t="shared" si="552"/>
        <v>5.4999999999999993E-2</v>
      </c>
      <c r="Y152" s="75">
        <f t="shared" si="552"/>
        <v>4.9999999999999996E-2</v>
      </c>
      <c r="Z152" s="75">
        <f t="shared" si="552"/>
        <v>4.9999999999999996E-2</v>
      </c>
      <c r="AA152" s="75">
        <f t="shared" si="552"/>
        <v>4.9999999999999996E-2</v>
      </c>
      <c r="AB152" s="75">
        <f t="shared" si="552"/>
        <v>4.4999999999999998E-2</v>
      </c>
      <c r="AC152" s="75">
        <f t="shared" si="552"/>
        <v>4.4999999999999998E-2</v>
      </c>
      <c r="AD152" s="75">
        <f t="shared" si="552"/>
        <v>4.4999999999999998E-2</v>
      </c>
      <c r="AE152" s="75">
        <f t="shared" ref="AE152" si="553">IF(MOD(MONTH(AE$6)-1,3)=0,1,0)*$F152+AD152</f>
        <v>0.04</v>
      </c>
      <c r="AF152" s="75">
        <f t="shared" ref="AF152" si="554">IF(MOD(MONTH(AF$6)-1,3)=0,1,0)*$F152+AE152</f>
        <v>0.04</v>
      </c>
      <c r="AG152" s="75">
        <f t="shared" ref="AG152" si="555">IF(MOD(MONTH(AG$6)-1,3)=0,1,0)*$F152+AF152</f>
        <v>0.04</v>
      </c>
      <c r="AH152" s="75">
        <f t="shared" ref="AH152" si="556">IF(MOD(MONTH(AH$6)-1,3)=0,1,0)*$F152+AG152</f>
        <v>3.5000000000000003E-2</v>
      </c>
      <c r="AI152" s="75">
        <f t="shared" ref="AI152" si="557">IF(MOD(MONTH(AI$6)-1,3)=0,1,0)*$F152+AH152</f>
        <v>3.5000000000000003E-2</v>
      </c>
      <c r="AJ152" s="75">
        <f t="shared" ref="AJ152" si="558">IF(MOD(MONTH(AJ$6)-1,3)=0,1,0)*$F152+AI152</f>
        <v>3.5000000000000003E-2</v>
      </c>
      <c r="AK152" s="75">
        <f t="shared" ref="AK152" si="559">IF(MOD(MONTH(AK$6)-1,3)=0,1,0)*$F152+AJ152</f>
        <v>3.0000000000000002E-2</v>
      </c>
      <c r="AL152" s="75">
        <f t="shared" ref="AL152" si="560">IF(MOD(MONTH(AL$6)-1,3)=0,1,0)*$F152+AK152</f>
        <v>3.0000000000000002E-2</v>
      </c>
      <c r="AM152" s="75">
        <f t="shared" ref="AM152" si="561">IF(MOD(MONTH(AM$6)-1,3)=0,1,0)*$F152+AL152</f>
        <v>3.0000000000000002E-2</v>
      </c>
      <c r="AN152" s="75">
        <f t="shared" ref="AN152" si="562">IF(MOD(MONTH(AN$6)-1,3)=0,1,0)*$F152+AM152</f>
        <v>2.5000000000000001E-2</v>
      </c>
      <c r="AO152" s="75">
        <f t="shared" ref="AO152" si="563">IF(MOD(MONTH(AO$6)-1,3)=0,1,0)*$F152+AN152</f>
        <v>2.5000000000000001E-2</v>
      </c>
      <c r="AP152" s="75">
        <f t="shared" ref="AP152" si="564">IF(MOD(MONTH(AP$6)-1,3)=0,1,0)*$F152+AO152</f>
        <v>2.5000000000000001E-2</v>
      </c>
      <c r="AQ152" s="75">
        <f t="shared" ref="AQ152" si="565">IF(MOD(MONTH(AQ$6)-1,3)=0,1,0)*$F152+AP152</f>
        <v>0.02</v>
      </c>
      <c r="AR152" s="75">
        <f t="shared" ref="AR152" si="566">IF(MOD(MONTH(AR$6)-1,3)=0,1,0)*$F152+AQ152</f>
        <v>0.02</v>
      </c>
      <c r="AS152" s="75">
        <f t="shared" ref="AS152" si="567">IF(MOD(MONTH(AS$6)-1,3)=0,1,0)*$F152+AR152</f>
        <v>0.02</v>
      </c>
      <c r="AT152" s="75">
        <f t="shared" ref="AT152" si="568">IF(MOD(MONTH(AT$6)-1,3)=0,1,0)*$F152+AS152</f>
        <v>1.4999999999999999E-2</v>
      </c>
      <c r="AU152" s="75">
        <f t="shared" ref="AU152" si="569">IF(MOD(MONTH(AU$6)-1,3)=0,1,0)*$F152+AT152</f>
        <v>1.4999999999999999E-2</v>
      </c>
      <c r="AV152" s="75">
        <f t="shared" ref="AV152" si="570">IF(MOD(MONTH(AV$6)-1,3)=0,1,0)*$F152+AU152</f>
        <v>1.4999999999999999E-2</v>
      </c>
      <c r="AW152" s="75">
        <f t="shared" ref="AW152" si="571">IF(MOD(MONTH(AW$6)-1,3)=0,1,0)*$F152+AV152</f>
        <v>9.9999999999999985E-3</v>
      </c>
      <c r="AX152" s="75">
        <f t="shared" ref="AX152" si="572">IF(MOD(MONTH(AX$6)-1,3)=0,1,0)*$F152+AW152</f>
        <v>9.9999999999999985E-3</v>
      </c>
      <c r="AY152" s="75">
        <f t="shared" ref="AY152" si="573">IF(MOD(MONTH(AY$6)-1,3)=0,1,0)*$F152+AX152</f>
        <v>9.9999999999999985E-3</v>
      </c>
      <c r="AZ152" s="75">
        <f t="shared" ref="AZ152" si="574">IF(MOD(MONTH(AZ$6)-1,3)=0,1,0)*$F152+AY152</f>
        <v>4.9999999999999984E-3</v>
      </c>
      <c r="BA152" s="75">
        <f t="shared" ref="BA152" si="575">IF(MOD(MONTH(BA$6)-1,3)=0,1,0)*$F152+AZ152</f>
        <v>4.9999999999999984E-3</v>
      </c>
      <c r="BB152" s="75">
        <f t="shared" ref="BB152" si="576">IF(MOD(MONTH(BB$6)-1,3)=0,1,0)*$F152+BA152</f>
        <v>4.9999999999999984E-3</v>
      </c>
      <c r="BC152" s="75">
        <f t="shared" ref="BC152" si="577">IF(MOD(MONTH(BC$6)-1,3)=0,1,0)*$F152+BB152</f>
        <v>0</v>
      </c>
      <c r="BD152" s="75">
        <f t="shared" ref="BD152" si="578">IF(MOD(MONTH(BD$6)-1,3)=0,1,0)*$F152+BC152</f>
        <v>0</v>
      </c>
      <c r="BE152" s="75">
        <f t="shared" ref="BE152" si="579">IF(MOD(MONTH(BE$6)-1,3)=0,1,0)*$F152+BD152</f>
        <v>0</v>
      </c>
      <c r="BF152" s="75">
        <f t="shared" ref="BF152" si="580">IF(MOD(MONTH(BF$6)-1,3)=0,1,0)*$F152+BE152</f>
        <v>-5.0000000000000001E-3</v>
      </c>
      <c r="BG152" s="75">
        <f t="shared" ref="BG152" si="581">IF(MOD(MONTH(BG$6)-1,3)=0,1,0)*$F152+BF152</f>
        <v>-5.0000000000000001E-3</v>
      </c>
      <c r="BH152" s="75">
        <f t="shared" ref="BH152" si="582">IF(MOD(MONTH(BH$6)-1,3)=0,1,0)*$F152+BG152</f>
        <v>-5.0000000000000001E-3</v>
      </c>
      <c r="BI152" s="75">
        <f t="shared" ref="BI152" si="583">IF(MOD(MONTH(BI$6)-1,3)=0,1,0)*$F152+BH152</f>
        <v>-0.01</v>
      </c>
      <c r="BJ152" s="75">
        <f t="shared" ref="BJ152" si="584">IF(MOD(MONTH(BJ$6)-1,3)=0,1,0)*$F152+BI152</f>
        <v>-0.01</v>
      </c>
      <c r="BK152" s="75">
        <f t="shared" ref="BK152" si="585">IF(MOD(MONTH(BK$6)-1,3)=0,1,0)*$F152+BJ152</f>
        <v>-0.01</v>
      </c>
      <c r="BL152" s="75">
        <f t="shared" ref="BL152" si="586">IF(MOD(MONTH(BL$6)-1,3)=0,1,0)*$F152+BK152</f>
        <v>-1.4999999999999999E-2</v>
      </c>
      <c r="BM152" s="75">
        <f t="shared" ref="BM152" si="587">IF(MOD(MONTH(BM$6)-1,3)=0,1,0)*$F152+BL152</f>
        <v>-1.4999999999999999E-2</v>
      </c>
      <c r="BN152" s="75">
        <f t="shared" ref="BN152" si="588">IF(MOD(MONTH(BN$6)-1,3)=0,1,0)*$F152+BM152</f>
        <v>-1.4999999999999999E-2</v>
      </c>
    </row>
    <row r="153" spans="2:66" ht="14.4" customHeight="1" x14ac:dyDescent="0.3">
      <c r="B153" s="22"/>
      <c r="C153" s="11" t="s">
        <v>134</v>
      </c>
      <c r="D153" s="11"/>
      <c r="E153" s="11"/>
      <c r="F153" s="11"/>
      <c r="G153" s="46">
        <f>G151*G152</f>
        <v>4044</v>
      </c>
      <c r="H153" s="46">
        <f t="shared" ref="H153:M153" si="589">H151*H152</f>
        <v>8049.6</v>
      </c>
      <c r="I153" s="46">
        <f t="shared" si="589"/>
        <v>12103.2</v>
      </c>
      <c r="J153" s="46">
        <f t="shared" si="589"/>
        <v>15192</v>
      </c>
      <c r="K153" s="46">
        <f t="shared" si="589"/>
        <v>19161</v>
      </c>
      <c r="L153" s="46">
        <f t="shared" si="589"/>
        <v>23280.75</v>
      </c>
      <c r="M153" s="46">
        <f t="shared" si="589"/>
        <v>25764.899999999998</v>
      </c>
      <c r="N153" s="46">
        <f t="shared" ref="N153" si="590">N151*N152</f>
        <v>30015.299999999996</v>
      </c>
      <c r="O153" s="46">
        <f t="shared" ref="O153" si="591">O151*O152</f>
        <v>34530.299999999996</v>
      </c>
      <c r="P153" s="46">
        <f t="shared" ref="P153" si="592">P151*P152</f>
        <v>36523.499999999993</v>
      </c>
      <c r="Q153" s="46">
        <f t="shared" ref="Q153" si="593">Q151*Q152</f>
        <v>41273.69999999999</v>
      </c>
      <c r="R153" s="46">
        <f t="shared" ref="R153" si="594">R151*R152</f>
        <v>46359.299999999988</v>
      </c>
      <c r="S153" s="46">
        <f t="shared" ref="S153" si="595">S151*S152</f>
        <v>47485.799999999996</v>
      </c>
      <c r="T153" s="46">
        <f t="shared" ref="T153" si="596">T151*T152</f>
        <v>52532.999999999993</v>
      </c>
      <c r="U153" s="46">
        <f t="shared" ref="U153" si="597">U151*U152</f>
        <v>57976.19999999999</v>
      </c>
      <c r="V153" s="46">
        <f t="shared" ref="V153" si="598">V151*V152</f>
        <v>58555.19999999999</v>
      </c>
      <c r="W153" s="46">
        <f t="shared" ref="W153" si="599">W151*W152</f>
        <v>64406.099999999991</v>
      </c>
      <c r="X153" s="46">
        <f t="shared" ref="X153" si="600">X151*X152</f>
        <v>70737.149999999994</v>
      </c>
      <c r="Y153" s="46">
        <f t="shared" ref="Y153" si="601">Y151*Y152</f>
        <v>70551</v>
      </c>
      <c r="Z153" s="46">
        <f t="shared" ref="Z153" si="602">Z151*Z152</f>
        <v>77337</v>
      </c>
      <c r="AA153" s="46">
        <f t="shared" ref="AA153" si="603">AA151*AA152</f>
        <v>84699</v>
      </c>
      <c r="AB153" s="46">
        <f t="shared" ref="AB153" si="604">AB151*AB152</f>
        <v>83452.95</v>
      </c>
      <c r="AC153" s="46">
        <f t="shared" ref="AC153" si="605">AC151*AC152</f>
        <v>91307.25</v>
      </c>
      <c r="AD153" s="46">
        <f t="shared" ref="AD153" si="606">AD151*AD152</f>
        <v>99823.05</v>
      </c>
      <c r="AE153" s="46">
        <f t="shared" ref="AE153:BN153" si="607">AE151*AE152</f>
        <v>96512.400000000009</v>
      </c>
      <c r="AF153" s="46">
        <f t="shared" si="607"/>
        <v>104982</v>
      </c>
      <c r="AG153" s="46">
        <f t="shared" si="607"/>
        <v>114211.2</v>
      </c>
      <c r="AH153" s="46">
        <f t="shared" si="607"/>
        <v>108749.55000000002</v>
      </c>
      <c r="AI153" s="46">
        <f t="shared" si="607"/>
        <v>118340.25000000001</v>
      </c>
      <c r="AJ153" s="46">
        <f t="shared" si="607"/>
        <v>128805.6</v>
      </c>
      <c r="AK153" s="46">
        <f t="shared" si="607"/>
        <v>120188.70000000001</v>
      </c>
      <c r="AL153" s="46">
        <f t="shared" si="607"/>
        <v>130851.00000000001</v>
      </c>
      <c r="AM153" s="46">
        <f t="shared" si="607"/>
        <v>142476.30000000002</v>
      </c>
      <c r="AN153" s="46">
        <f t="shared" si="607"/>
        <v>129291</v>
      </c>
      <c r="AO153" s="46">
        <f t="shared" si="607"/>
        <v>140830.5</v>
      </c>
      <c r="AP153" s="46">
        <f t="shared" si="607"/>
        <v>153420.75</v>
      </c>
      <c r="AQ153" s="46">
        <f t="shared" si="607"/>
        <v>133720.79999999999</v>
      </c>
      <c r="AR153" s="46">
        <f t="shared" si="607"/>
        <v>145722.6</v>
      </c>
      <c r="AS153" s="46">
        <f t="shared" si="607"/>
        <v>158834.4</v>
      </c>
      <c r="AT153" s="46">
        <f t="shared" si="607"/>
        <v>129856.5</v>
      </c>
      <c r="AU153" s="46">
        <f t="shared" si="607"/>
        <v>141584.85</v>
      </c>
      <c r="AV153" s="46">
        <f t="shared" si="607"/>
        <v>154401.29999999999</v>
      </c>
      <c r="AW153" s="46">
        <f t="shared" si="607"/>
        <v>112271.69999999998</v>
      </c>
      <c r="AX153" s="46">
        <f t="shared" si="607"/>
        <v>122480.39999999998</v>
      </c>
      <c r="AY153" s="46">
        <f t="shared" si="607"/>
        <v>133638.59999999998</v>
      </c>
      <c r="AZ153" s="46">
        <f t="shared" si="607"/>
        <v>72915.89999999998</v>
      </c>
      <c r="BA153" s="46">
        <f t="shared" si="607"/>
        <v>79581.599999999977</v>
      </c>
      <c r="BB153" s="46">
        <f t="shared" si="607"/>
        <v>86871.449999999968</v>
      </c>
      <c r="BC153" s="46">
        <f t="shared" si="607"/>
        <v>0</v>
      </c>
      <c r="BD153" s="46">
        <f t="shared" si="607"/>
        <v>0</v>
      </c>
      <c r="BE153" s="46">
        <f t="shared" si="607"/>
        <v>0</v>
      </c>
      <c r="BF153" s="46">
        <f t="shared" si="607"/>
        <v>-123537.75</v>
      </c>
      <c r="BG153" s="46">
        <f t="shared" si="607"/>
        <v>-134955.15</v>
      </c>
      <c r="BH153" s="46">
        <f t="shared" si="607"/>
        <v>-147449.4</v>
      </c>
      <c r="BI153" s="46">
        <f t="shared" si="607"/>
        <v>-322244.10000000003</v>
      </c>
      <c r="BJ153" s="46">
        <f t="shared" si="607"/>
        <v>-352178.10000000003</v>
      </c>
      <c r="BK153" s="46">
        <f t="shared" si="607"/>
        <v>-384943.5</v>
      </c>
      <c r="BL153" s="46">
        <f t="shared" si="607"/>
        <v>-631212.29999999993</v>
      </c>
      <c r="BM153" s="46">
        <f t="shared" si="607"/>
        <v>-690107.85</v>
      </c>
      <c r="BN153" s="46">
        <f t="shared" si="607"/>
        <v>-754599.6</v>
      </c>
    </row>
    <row r="154" spans="2:66" ht="14.4" customHeight="1" x14ac:dyDescent="0.3"/>
    <row r="155" spans="2:66" ht="14.4" customHeight="1" x14ac:dyDescent="0.3">
      <c r="C155" t="s">
        <v>48</v>
      </c>
      <c r="G155" s="37">
        <f>-G29</f>
        <v>16637.5</v>
      </c>
      <c r="H155" s="34">
        <f t="shared" ref="H155:AM155" si="608">G155-H29</f>
        <v>32972.5</v>
      </c>
      <c r="I155" s="34">
        <f t="shared" si="608"/>
        <v>48895</v>
      </c>
      <c r="J155" s="34">
        <f t="shared" si="608"/>
        <v>64295</v>
      </c>
      <c r="K155" s="34">
        <f t="shared" si="608"/>
        <v>79365</v>
      </c>
      <c r="L155" s="34">
        <f t="shared" si="608"/>
        <v>93967.5</v>
      </c>
      <c r="M155" s="34">
        <f t="shared" si="608"/>
        <v>107965</v>
      </c>
      <c r="N155" s="34">
        <f t="shared" si="608"/>
        <v>121522.5</v>
      </c>
      <c r="O155" s="34">
        <f t="shared" si="608"/>
        <v>134475</v>
      </c>
      <c r="P155" s="34">
        <f t="shared" si="608"/>
        <v>146960</v>
      </c>
      <c r="Q155" s="34">
        <f t="shared" si="608"/>
        <v>158785</v>
      </c>
      <c r="R155" s="34">
        <f t="shared" si="608"/>
        <v>170060</v>
      </c>
      <c r="S155" s="34">
        <f t="shared" si="608"/>
        <v>192967.5</v>
      </c>
      <c r="T155" s="34">
        <f t="shared" si="608"/>
        <v>216425</v>
      </c>
      <c r="U155" s="34">
        <f t="shared" si="608"/>
        <v>240542.5</v>
      </c>
      <c r="V155" s="34">
        <f t="shared" si="608"/>
        <v>265402.5</v>
      </c>
      <c r="W155" s="34">
        <f t="shared" si="608"/>
        <v>291087.5</v>
      </c>
      <c r="X155" s="34">
        <f t="shared" si="608"/>
        <v>317350</v>
      </c>
      <c r="Y155" s="34">
        <f t="shared" si="608"/>
        <v>344245</v>
      </c>
      <c r="Z155" s="34">
        <f t="shared" si="608"/>
        <v>372130</v>
      </c>
      <c r="AA155" s="34">
        <f t="shared" si="608"/>
        <v>401005</v>
      </c>
      <c r="AB155" s="34">
        <f t="shared" si="608"/>
        <v>431172.5</v>
      </c>
      <c r="AC155" s="34">
        <f t="shared" si="608"/>
        <v>462275</v>
      </c>
      <c r="AD155" s="34">
        <f t="shared" si="608"/>
        <v>494587.5</v>
      </c>
      <c r="AE155" s="34">
        <f t="shared" si="608"/>
        <v>529320</v>
      </c>
      <c r="AF155" s="34">
        <f t="shared" si="608"/>
        <v>566417.5</v>
      </c>
      <c r="AG155" s="34">
        <f t="shared" si="608"/>
        <v>606127.5</v>
      </c>
      <c r="AH155" s="34">
        <f t="shared" si="608"/>
        <v>648670</v>
      </c>
      <c r="AI155" s="34">
        <f t="shared" si="608"/>
        <v>694237.5</v>
      </c>
      <c r="AJ155" s="34">
        <f t="shared" si="608"/>
        <v>742967.5</v>
      </c>
      <c r="AK155" s="34">
        <f t="shared" si="608"/>
        <v>794970</v>
      </c>
      <c r="AL155" s="34">
        <f t="shared" si="608"/>
        <v>850355</v>
      </c>
      <c r="AM155" s="34">
        <f t="shared" si="608"/>
        <v>909507.5</v>
      </c>
      <c r="AN155" s="34">
        <f t="shared" ref="AN155:BN155" si="609">AM155-AN29</f>
        <v>973087.5</v>
      </c>
      <c r="AO155" s="34">
        <f t="shared" si="609"/>
        <v>1041342.5</v>
      </c>
      <c r="AP155" s="34">
        <f t="shared" si="609"/>
        <v>1114190</v>
      </c>
      <c r="AQ155" s="34">
        <f t="shared" si="609"/>
        <v>1191850</v>
      </c>
      <c r="AR155" s="34">
        <f t="shared" si="609"/>
        <v>1275092.5</v>
      </c>
      <c r="AS155" s="34">
        <f t="shared" si="609"/>
        <v>1364302.5</v>
      </c>
      <c r="AT155" s="34">
        <f t="shared" si="609"/>
        <v>1459507.5</v>
      </c>
      <c r="AU155" s="34">
        <f t="shared" si="609"/>
        <v>1561615</v>
      </c>
      <c r="AV155" s="34">
        <f t="shared" si="609"/>
        <v>1671120</v>
      </c>
      <c r="AW155" s="34">
        <f t="shared" si="609"/>
        <v>1788132.5</v>
      </c>
      <c r="AX155" s="34">
        <f t="shared" si="609"/>
        <v>1913312.5</v>
      </c>
      <c r="AY155" s="34">
        <f t="shared" si="609"/>
        <v>2047237.5</v>
      </c>
      <c r="AZ155" s="34">
        <f t="shared" si="609"/>
        <v>2190732.5</v>
      </c>
      <c r="BA155" s="34">
        <f t="shared" si="609"/>
        <v>2344512.5</v>
      </c>
      <c r="BB155" s="34">
        <f t="shared" si="609"/>
        <v>2509155</v>
      </c>
      <c r="BC155" s="34">
        <f t="shared" si="609"/>
        <v>2685127.5</v>
      </c>
      <c r="BD155" s="34">
        <f t="shared" si="609"/>
        <v>2873447.5</v>
      </c>
      <c r="BE155" s="34">
        <f t="shared" si="609"/>
        <v>3074692.5</v>
      </c>
      <c r="BF155" s="34">
        <f t="shared" si="609"/>
        <v>3290210</v>
      </c>
      <c r="BG155" s="34">
        <f t="shared" si="609"/>
        <v>3520907.5</v>
      </c>
      <c r="BH155" s="34">
        <f t="shared" si="609"/>
        <v>3767857.5</v>
      </c>
      <c r="BI155" s="34">
        <f t="shared" si="609"/>
        <v>4031940</v>
      </c>
      <c r="BJ155" s="34">
        <f t="shared" si="609"/>
        <v>4314502.5</v>
      </c>
      <c r="BK155" s="34">
        <f t="shared" si="609"/>
        <v>4616700</v>
      </c>
      <c r="BL155" s="34">
        <f t="shared" si="609"/>
        <v>4939825</v>
      </c>
      <c r="BM155" s="34">
        <f t="shared" si="609"/>
        <v>5285582.5</v>
      </c>
      <c r="BN155" s="34">
        <f t="shared" si="609"/>
        <v>5655732.5</v>
      </c>
    </row>
    <row r="156" spans="2:66" ht="3" customHeight="1" x14ac:dyDescent="0.3"/>
    <row r="157" spans="2:66" x14ac:dyDescent="0.3">
      <c r="C157" s="31" t="s">
        <v>124</v>
      </c>
      <c r="D157" s="32"/>
      <c r="E157" s="32"/>
      <c r="F157" s="32"/>
      <c r="G157" s="39">
        <f>SUM(G153,G149,G155)</f>
        <v>23209</v>
      </c>
      <c r="H157" s="39">
        <f>SUM(H153,H149,H155)</f>
        <v>46053.1</v>
      </c>
      <c r="I157" s="39">
        <f t="shared" ref="I157:AD157" si="610">SUM(I153,I149,I155)</f>
        <v>68562.7</v>
      </c>
      <c r="J157" s="39">
        <f t="shared" si="610"/>
        <v>89615</v>
      </c>
      <c r="K157" s="39">
        <f t="shared" si="610"/>
        <v>111300</v>
      </c>
      <c r="L157" s="39">
        <f t="shared" si="610"/>
        <v>132768.75</v>
      </c>
      <c r="M157" s="39">
        <f t="shared" si="610"/>
        <v>152133.4</v>
      </c>
      <c r="N157" s="39">
        <f t="shared" si="610"/>
        <v>172977.3</v>
      </c>
      <c r="O157" s="39">
        <f t="shared" si="610"/>
        <v>193669.8</v>
      </c>
      <c r="P157" s="39">
        <f t="shared" si="610"/>
        <v>211578.5</v>
      </c>
      <c r="Q157" s="39">
        <f t="shared" si="610"/>
        <v>231807.69999999998</v>
      </c>
      <c r="R157" s="39">
        <f t="shared" si="610"/>
        <v>252080.3</v>
      </c>
      <c r="S157" s="39">
        <f t="shared" si="610"/>
        <v>280024.8</v>
      </c>
      <c r="T157" s="39">
        <f t="shared" si="610"/>
        <v>312735.5</v>
      </c>
      <c r="U157" s="39">
        <f t="shared" si="610"/>
        <v>346832.19999999995</v>
      </c>
      <c r="V157" s="39">
        <f t="shared" si="610"/>
        <v>377189.69999999995</v>
      </c>
      <c r="W157" s="39">
        <f t="shared" si="610"/>
        <v>414044.6</v>
      </c>
      <c r="X157" s="39">
        <f t="shared" si="610"/>
        <v>452393.65</v>
      </c>
      <c r="Y157" s="39">
        <f t="shared" si="610"/>
        <v>485347</v>
      </c>
      <c r="Z157" s="39">
        <f t="shared" si="610"/>
        <v>526804</v>
      </c>
      <c r="AA157" s="39">
        <f t="shared" si="610"/>
        <v>570403</v>
      </c>
      <c r="AB157" s="39">
        <f t="shared" si="610"/>
        <v>607350.94999999995</v>
      </c>
      <c r="AC157" s="39">
        <f t="shared" si="610"/>
        <v>655034.75</v>
      </c>
      <c r="AD157" s="39">
        <f t="shared" si="610"/>
        <v>705325.05</v>
      </c>
      <c r="AE157" s="39">
        <f t="shared" ref="AE157:BN157" si="611">SUM(AE153,AE149,AE155)</f>
        <v>746472.9</v>
      </c>
      <c r="AF157" s="39">
        <f t="shared" si="611"/>
        <v>802627</v>
      </c>
      <c r="AG157" s="39">
        <f t="shared" si="611"/>
        <v>863102.7</v>
      </c>
      <c r="AH157" s="39">
        <f t="shared" si="611"/>
        <v>912776.05</v>
      </c>
      <c r="AI157" s="39">
        <f t="shared" si="611"/>
        <v>981635.25</v>
      </c>
      <c r="AJ157" s="39">
        <f t="shared" si="611"/>
        <v>1055781.1000000001</v>
      </c>
      <c r="AK157" s="39">
        <f t="shared" si="611"/>
        <v>1115473.2</v>
      </c>
      <c r="AL157" s="39">
        <f t="shared" si="611"/>
        <v>1199291</v>
      </c>
      <c r="AM157" s="39">
        <f t="shared" si="611"/>
        <v>1289444.3</v>
      </c>
      <c r="AN157" s="39">
        <f t="shared" si="611"/>
        <v>1360960.5</v>
      </c>
      <c r="AO157" s="39">
        <f t="shared" si="611"/>
        <v>1463834</v>
      </c>
      <c r="AP157" s="39">
        <f t="shared" si="611"/>
        <v>1574452.25</v>
      </c>
      <c r="AQ157" s="39">
        <f t="shared" si="611"/>
        <v>1659872.8</v>
      </c>
      <c r="AR157" s="39">
        <f t="shared" si="611"/>
        <v>1785121.6</v>
      </c>
      <c r="AS157" s="39">
        <f t="shared" si="611"/>
        <v>1920222.9</v>
      </c>
      <c r="AT157" s="39">
        <f t="shared" si="611"/>
        <v>2022219</v>
      </c>
      <c r="AU157" s="39">
        <f t="shared" si="611"/>
        <v>2175149.35</v>
      </c>
      <c r="AV157" s="39">
        <f t="shared" si="611"/>
        <v>2340192.2999999998</v>
      </c>
      <c r="AW157" s="39">
        <f t="shared" si="611"/>
        <v>2461762.7000000002</v>
      </c>
      <c r="AX157" s="39">
        <f t="shared" si="611"/>
        <v>2648194.9</v>
      </c>
      <c r="AY157" s="39">
        <f t="shared" si="611"/>
        <v>2849069.1</v>
      </c>
      <c r="AZ157" s="39">
        <f t="shared" si="611"/>
        <v>2992807.4</v>
      </c>
      <c r="BA157" s="39">
        <f t="shared" si="611"/>
        <v>3219910.1</v>
      </c>
      <c r="BB157" s="39">
        <f t="shared" si="611"/>
        <v>3464740.95</v>
      </c>
      <c r="BC157" s="39">
        <f t="shared" si="611"/>
        <v>3633570</v>
      </c>
      <c r="BD157" s="39">
        <f t="shared" si="611"/>
        <v>3909107.5</v>
      </c>
      <c r="BE157" s="39">
        <f t="shared" si="611"/>
        <v>4205719.5</v>
      </c>
      <c r="BF157" s="39">
        <f t="shared" si="611"/>
        <v>4402049.75</v>
      </c>
      <c r="BG157" s="39">
        <f t="shared" si="611"/>
        <v>4735503.8499999996</v>
      </c>
      <c r="BH157" s="39">
        <f t="shared" si="611"/>
        <v>5094902.0999999996</v>
      </c>
      <c r="BI157" s="39">
        <f t="shared" si="611"/>
        <v>5320916.4000000004</v>
      </c>
      <c r="BJ157" s="39">
        <f t="shared" si="611"/>
        <v>5723214.9000000004</v>
      </c>
      <c r="BK157" s="39">
        <f t="shared" si="611"/>
        <v>6156474</v>
      </c>
      <c r="BL157" s="39">
        <f t="shared" si="611"/>
        <v>6412653.7000000002</v>
      </c>
      <c r="BM157" s="39">
        <f t="shared" si="611"/>
        <v>6895834.1500000004</v>
      </c>
      <c r="BN157" s="39">
        <f t="shared" si="611"/>
        <v>7416464.9000000004</v>
      </c>
    </row>
    <row r="159" spans="2:66" x14ac:dyDescent="0.3">
      <c r="B159" s="22" t="s">
        <v>0</v>
      </c>
      <c r="C159" s="4" t="s">
        <v>121</v>
      </c>
    </row>
    <row r="160" spans="2:66" ht="3" customHeight="1" x14ac:dyDescent="0.3">
      <c r="B160" s="22"/>
      <c r="C160" s="4"/>
    </row>
    <row r="161" spans="1:66" x14ac:dyDescent="0.3">
      <c r="B161" s="22"/>
      <c r="C161" t="s">
        <v>121</v>
      </c>
      <c r="G161" s="37">
        <f>G201</f>
        <v>1000000</v>
      </c>
      <c r="H161" s="76">
        <f t="shared" ref="H161:AD161" si="612">G161+H201</f>
        <v>1000000</v>
      </c>
      <c r="I161" s="76">
        <f t="shared" si="612"/>
        <v>1000000</v>
      </c>
      <c r="J161" s="76">
        <f t="shared" si="612"/>
        <v>1000000</v>
      </c>
      <c r="K161" s="76">
        <f t="shared" si="612"/>
        <v>1000000</v>
      </c>
      <c r="L161" s="76">
        <f t="shared" si="612"/>
        <v>1000000</v>
      </c>
      <c r="M161" s="76">
        <f t="shared" si="612"/>
        <v>1000000</v>
      </c>
      <c r="N161" s="76">
        <f t="shared" si="612"/>
        <v>1000000</v>
      </c>
      <c r="O161" s="76">
        <f t="shared" si="612"/>
        <v>1000000</v>
      </c>
      <c r="P161" s="76">
        <f t="shared" si="612"/>
        <v>1000000</v>
      </c>
      <c r="Q161" s="76">
        <f t="shared" si="612"/>
        <v>22399063.524993867</v>
      </c>
      <c r="R161" s="76">
        <f t="shared" si="612"/>
        <v>22399063.524993867</v>
      </c>
      <c r="S161" s="76">
        <f t="shared" si="612"/>
        <v>22399063.524993867</v>
      </c>
      <c r="T161" s="76">
        <f t="shared" si="612"/>
        <v>22399063.524993867</v>
      </c>
      <c r="U161" s="76">
        <f t="shared" si="612"/>
        <v>22399063.524993867</v>
      </c>
      <c r="V161" s="76">
        <f t="shared" si="612"/>
        <v>22399063.524993867</v>
      </c>
      <c r="W161" s="76">
        <f t="shared" si="612"/>
        <v>22399063.524993867</v>
      </c>
      <c r="X161" s="76">
        <f t="shared" si="612"/>
        <v>22399063.524993867</v>
      </c>
      <c r="Y161" s="76">
        <f t="shared" si="612"/>
        <v>22399063.524993867</v>
      </c>
      <c r="Z161" s="76">
        <f t="shared" si="612"/>
        <v>22399063.524993867</v>
      </c>
      <c r="AA161" s="76">
        <f t="shared" si="612"/>
        <v>22399063.524993867</v>
      </c>
      <c r="AB161" s="76">
        <f t="shared" si="612"/>
        <v>22399063.524993867</v>
      </c>
      <c r="AC161" s="76">
        <f t="shared" si="612"/>
        <v>22399063.524993867</v>
      </c>
      <c r="AD161" s="76">
        <f t="shared" si="612"/>
        <v>22399063.524993867</v>
      </c>
      <c r="AE161" s="76">
        <f t="shared" ref="AE161" si="613">AD161+AE201</f>
        <v>22399063.524993867</v>
      </c>
      <c r="AF161" s="76">
        <f t="shared" ref="AF161" si="614">AE161+AF201</f>
        <v>22399063.524993867</v>
      </c>
      <c r="AG161" s="76">
        <f t="shared" ref="AG161" si="615">AF161+AG201</f>
        <v>22399063.524993867</v>
      </c>
      <c r="AH161" s="76">
        <f t="shared" ref="AH161" si="616">AG161+AH201</f>
        <v>22399063.524993867</v>
      </c>
      <c r="AI161" s="76">
        <f t="shared" ref="AI161" si="617">AH161+AI201</f>
        <v>22399063.524993867</v>
      </c>
      <c r="AJ161" s="76">
        <f t="shared" ref="AJ161" si="618">AI161+AJ201</f>
        <v>22399063.524993867</v>
      </c>
      <c r="AK161" s="76">
        <f t="shared" ref="AK161" si="619">AJ161+AK201</f>
        <v>22399063.524993867</v>
      </c>
      <c r="AL161" s="76">
        <f t="shared" ref="AL161" si="620">AK161+AL201</f>
        <v>22399063.524993867</v>
      </c>
      <c r="AM161" s="76">
        <f t="shared" ref="AM161" si="621">AL161+AM201</f>
        <v>22399063.524993867</v>
      </c>
      <c r="AN161" s="76">
        <f t="shared" ref="AN161" si="622">AM161+AN201</f>
        <v>22399063.524993867</v>
      </c>
      <c r="AO161" s="76">
        <f t="shared" ref="AO161" si="623">AN161+AO201</f>
        <v>22399063.524993867</v>
      </c>
      <c r="AP161" s="76">
        <f t="shared" ref="AP161" si="624">AO161+AP201</f>
        <v>22399063.524993867</v>
      </c>
      <c r="AQ161" s="76">
        <f t="shared" ref="AQ161" si="625">AP161+AQ201</f>
        <v>22399063.524993867</v>
      </c>
      <c r="AR161" s="76">
        <f t="shared" ref="AR161" si="626">AQ161+AR201</f>
        <v>22399063.524993867</v>
      </c>
      <c r="AS161" s="76">
        <f t="shared" ref="AS161" si="627">AR161+AS201</f>
        <v>22399063.524993867</v>
      </c>
      <c r="AT161" s="76">
        <f t="shared" ref="AT161" si="628">AS161+AT201</f>
        <v>22399063.524993867</v>
      </c>
      <c r="AU161" s="76">
        <f t="shared" ref="AU161" si="629">AT161+AU201</f>
        <v>22399063.524993867</v>
      </c>
      <c r="AV161" s="76">
        <f t="shared" ref="AV161" si="630">AU161+AV201</f>
        <v>22399063.524993867</v>
      </c>
      <c r="AW161" s="76">
        <f t="shared" ref="AW161" si="631">AV161+AW201</f>
        <v>22399063.524993867</v>
      </c>
      <c r="AX161" s="76">
        <f t="shared" ref="AX161" si="632">AW161+AX201</f>
        <v>22399063.524993867</v>
      </c>
      <c r="AY161" s="76">
        <f t="shared" ref="AY161" si="633">AX161+AY201</f>
        <v>22399063.524993867</v>
      </c>
      <c r="AZ161" s="76">
        <f t="shared" ref="AZ161" si="634">AY161+AZ201</f>
        <v>22399063.524993867</v>
      </c>
      <c r="BA161" s="76">
        <f t="shared" ref="BA161" si="635">AZ161+BA201</f>
        <v>22399063.524993867</v>
      </c>
      <c r="BB161" s="76">
        <f t="shared" ref="BB161" si="636">BA161+BB201</f>
        <v>22399063.524993867</v>
      </c>
      <c r="BC161" s="76">
        <f t="shared" ref="BC161" si="637">BB161+BC201</f>
        <v>22399063.524993867</v>
      </c>
      <c r="BD161" s="76">
        <f t="shared" ref="BD161" si="638">BC161+BD201</f>
        <v>22399063.524993867</v>
      </c>
      <c r="BE161" s="76">
        <f t="shared" ref="BE161" si="639">BD161+BE201</f>
        <v>22399063.524993867</v>
      </c>
      <c r="BF161" s="76">
        <f t="shared" ref="BF161" si="640">BE161+BF201</f>
        <v>22399063.524993867</v>
      </c>
      <c r="BG161" s="76">
        <f t="shared" ref="BG161" si="641">BF161+BG201</f>
        <v>22399063.524993867</v>
      </c>
      <c r="BH161" s="76">
        <f t="shared" ref="BH161" si="642">BG161+BH201</f>
        <v>22399063.524993867</v>
      </c>
      <c r="BI161" s="76">
        <f t="shared" ref="BI161" si="643">BH161+BI201</f>
        <v>22399063.524993867</v>
      </c>
      <c r="BJ161" s="76">
        <f t="shared" ref="BJ161" si="644">BI161+BJ201</f>
        <v>22399063.524993867</v>
      </c>
      <c r="BK161" s="76">
        <f t="shared" ref="BK161" si="645">BJ161+BK201</f>
        <v>22399063.524993867</v>
      </c>
      <c r="BL161" s="76">
        <f t="shared" ref="BL161" si="646">BK161+BL201</f>
        <v>22399063.524993867</v>
      </c>
      <c r="BM161" s="76">
        <f t="shared" ref="BM161" si="647">BL161+BM201</f>
        <v>22399063.524993867</v>
      </c>
      <c r="BN161" s="76">
        <f t="shared" ref="BN161" si="648">BM161+BN201</f>
        <v>22399063.524993867</v>
      </c>
    </row>
    <row r="162" spans="1:66" x14ac:dyDescent="0.3">
      <c r="B162" s="22"/>
      <c r="C162" t="s">
        <v>128</v>
      </c>
      <c r="G162" s="27">
        <f>G131</f>
        <v>-84882.75</v>
      </c>
      <c r="H162" s="30">
        <f t="shared" ref="H162:AD162" si="649">G162+H131</f>
        <v>-168377.85</v>
      </c>
      <c r="I162" s="30">
        <f t="shared" si="649"/>
        <v>-250548.3</v>
      </c>
      <c r="J162" s="30">
        <f t="shared" si="649"/>
        <v>-348455.1</v>
      </c>
      <c r="K162" s="30">
        <f t="shared" si="649"/>
        <v>-445208.5</v>
      </c>
      <c r="L162" s="30">
        <f t="shared" si="649"/>
        <v>-540779.55000000005</v>
      </c>
      <c r="M162" s="30">
        <f t="shared" si="649"/>
        <v>-657952.66</v>
      </c>
      <c r="N162" s="30">
        <f t="shared" si="649"/>
        <v>-773954.45000000007</v>
      </c>
      <c r="O162" s="30">
        <f t="shared" si="649"/>
        <v>-888732.32000000007</v>
      </c>
      <c r="P162" s="30">
        <f t="shared" si="649"/>
        <v>-1036779.9021000001</v>
      </c>
      <c r="Q162" s="30">
        <f t="shared" si="649"/>
        <v>-1183399.1139</v>
      </c>
      <c r="R162" s="30">
        <f t="shared" si="649"/>
        <v>-1334625.7649999999</v>
      </c>
      <c r="S162" s="30">
        <f t="shared" si="649"/>
        <v>-1504816.9410629999</v>
      </c>
      <c r="T162" s="30">
        <f t="shared" si="649"/>
        <v>-1673659.8116839998</v>
      </c>
      <c r="U162" s="30">
        <f t="shared" si="649"/>
        <v>-1840988.9787379999</v>
      </c>
      <c r="V162" s="30">
        <f t="shared" si="649"/>
        <v>-2047852.2563692799</v>
      </c>
      <c r="W162" s="30">
        <f t="shared" si="649"/>
        <v>-2252940.6914196</v>
      </c>
      <c r="X162" s="30">
        <f t="shared" si="649"/>
        <v>-2455944.4306702102</v>
      </c>
      <c r="Y162" s="30">
        <f t="shared" si="649"/>
        <v>-2679838.2679738812</v>
      </c>
      <c r="Z162" s="30">
        <f t="shared" si="649"/>
        <v>-2919147.3419434931</v>
      </c>
      <c r="AA162" s="30">
        <f t="shared" si="649"/>
        <v>-3155690.5929253437</v>
      </c>
      <c r="AB162" s="30">
        <f t="shared" si="649"/>
        <v>-3412539.5457968162</v>
      </c>
      <c r="AC162" s="30">
        <f t="shared" si="649"/>
        <v>-3683816.8786554169</v>
      </c>
      <c r="AD162" s="30">
        <f t="shared" si="649"/>
        <v>-3971670.5654477575</v>
      </c>
      <c r="AE162" s="30">
        <f t="shared" ref="AE162" si="650">AD162+AE131</f>
        <v>-4270340.1542028496</v>
      </c>
      <c r="AF162" s="30">
        <f t="shared" ref="AF162" si="651">AE162+AF131</f>
        <v>-4588815.4082341651</v>
      </c>
      <c r="AG162" s="30">
        <f t="shared" ref="AG162" si="652">AF162+AG131</f>
        <v>-4908663.2796017518</v>
      </c>
      <c r="AH162" s="30">
        <f t="shared" ref="AH162" si="653">AG162+AH131</f>
        <v>-5263326.7641841453</v>
      </c>
      <c r="AI162" s="30">
        <f t="shared" ref="AI162" si="654">AH162+AI131</f>
        <v>-5611950.0508828312</v>
      </c>
      <c r="AJ162" s="30">
        <f t="shared" ref="AJ162" si="655">AI162+AJ131</f>
        <v>-5978031.6564129405</v>
      </c>
      <c r="AK162" s="30">
        <f t="shared" ref="AK162" si="656">AJ162+AK131</f>
        <v>-6374050.2674828563</v>
      </c>
      <c r="AL162" s="30">
        <f t="shared" ref="AL162" si="657">AK162+AL131</f>
        <v>-6768972.9834348056</v>
      </c>
      <c r="AM162" s="30">
        <f t="shared" ref="AM162" si="658">AL162+AM131</f>
        <v>-7184606.5030223271</v>
      </c>
      <c r="AN162" s="30">
        <f t="shared" ref="AN162" si="659">AM162+AN131</f>
        <v>-7625840.4663018547</v>
      </c>
      <c r="AO162" s="30">
        <f t="shared" ref="AO162" si="660">AN162+AO131</f>
        <v>-8080703.7716121944</v>
      </c>
      <c r="AP162" s="30">
        <f t="shared" ref="AP162" si="661">AO162+AP131</f>
        <v>-8553128.5447083618</v>
      </c>
      <c r="AQ162" s="30">
        <f t="shared" ref="AQ162" si="662">AP162+AQ131</f>
        <v>-9041662.1636721995</v>
      </c>
      <c r="AR162" s="30">
        <f t="shared" ref="AR162" si="663">AQ162+AR131</f>
        <v>-9545541.9793585837</v>
      </c>
      <c r="AS162" s="30">
        <f t="shared" ref="AS162" si="664">AR162+AS131</f>
        <v>-10061765.430429569</v>
      </c>
      <c r="AT162" s="30">
        <f t="shared" ref="AT162" si="665">AS162+AT131</f>
        <v>-10614543.764585402</v>
      </c>
      <c r="AU162" s="30">
        <f t="shared" ref="AU162" si="666">AT162+AU131</f>
        <v>-11180441.870104693</v>
      </c>
      <c r="AV162" s="30">
        <f t="shared" ref="AV162" si="667">AU162+AV131</f>
        <v>-11771253.559367709</v>
      </c>
      <c r="AW162" s="30">
        <f t="shared" ref="AW162" si="668">AV162+AW131</f>
        <v>-12393757.457986116</v>
      </c>
      <c r="AX162" s="30">
        <f t="shared" ref="AX162" si="669">AW162+AX131</f>
        <v>-13039335.401935311</v>
      </c>
      <c r="AY162" s="30">
        <f t="shared" ref="AY162" si="670">AX162+AY131</f>
        <v>-13706860.69739042</v>
      </c>
      <c r="AZ162" s="30">
        <f t="shared" ref="AZ162" si="671">AY162+AZ131</f>
        <v>-14415689.148656819</v>
      </c>
      <c r="BA162" s="30">
        <f t="shared" ref="BA162" si="672">AZ162+BA131</f>
        <v>-15143372.97800873</v>
      </c>
      <c r="BB162" s="30">
        <f t="shared" ref="BB162" si="673">BA162+BB131</f>
        <v>-15904282.193492172</v>
      </c>
      <c r="BC162" s="30">
        <f t="shared" ref="BC162" si="674">BB162+BC131</f>
        <v>-16685416.447126333</v>
      </c>
      <c r="BD162" s="30">
        <f t="shared" ref="BD162" si="675">BC162+BD131</f>
        <v>-17511302.106606081</v>
      </c>
      <c r="BE162" s="30">
        <f t="shared" ref="BE162" si="676">BD162+BE131</f>
        <v>-18376190.329063538</v>
      </c>
      <c r="BF162" s="30">
        <f t="shared" ref="BF162" si="677">BE162+BF131</f>
        <v>-19275027.038839959</v>
      </c>
      <c r="BG162" s="30">
        <f t="shared" ref="BG162" si="678">BF162+BG131</f>
        <v>-20203330.711106047</v>
      </c>
      <c r="BH162" s="30">
        <f t="shared" ref="BH162" si="679">BG162+BH131</f>
        <v>-21184420.175454043</v>
      </c>
      <c r="BI162" s="30">
        <f t="shared" ref="BI162" si="680">BH162+BI131</f>
        <v>-22207844.125150863</v>
      </c>
      <c r="BJ162" s="30">
        <f t="shared" ref="BJ162" si="681">BI162+BJ131</f>
        <v>-23280844.857832488</v>
      </c>
      <c r="BK162" s="30">
        <f t="shared" ref="BK162" si="682">BJ162+BK131</f>
        <v>-24404947.281960107</v>
      </c>
      <c r="BL162" s="30">
        <f t="shared" ref="BL162" si="683">BK162+BL131</f>
        <v>-25576001.091460556</v>
      </c>
      <c r="BM162" s="30">
        <f t="shared" ref="BM162" si="684">BL162+BM131</f>
        <v>-26817601.968341909</v>
      </c>
      <c r="BN162" s="30">
        <f t="shared" ref="BN162" si="685">BM162+BN131</f>
        <v>-28116825.091660526</v>
      </c>
    </row>
    <row r="163" spans="1:66" ht="3" customHeight="1" x14ac:dyDescent="0.3"/>
    <row r="164" spans="1:66" x14ac:dyDescent="0.3">
      <c r="C164" s="35" t="s">
        <v>125</v>
      </c>
      <c r="D164" s="47"/>
      <c r="E164" s="47"/>
      <c r="F164" s="47"/>
      <c r="G164" s="40">
        <f>SUM(G161,G162)</f>
        <v>915117.25</v>
      </c>
      <c r="H164" s="40">
        <f t="shared" ref="H164:K164" si="686">SUM(H161,H162)</f>
        <v>831622.15</v>
      </c>
      <c r="I164" s="40">
        <f t="shared" si="686"/>
        <v>749451.7</v>
      </c>
      <c r="J164" s="40">
        <f t="shared" si="686"/>
        <v>651544.9</v>
      </c>
      <c r="K164" s="40">
        <f t="shared" si="686"/>
        <v>554791.5</v>
      </c>
      <c r="L164" s="40">
        <f t="shared" ref="L164:M164" si="687">SUM(L161,L162)</f>
        <v>459220.44999999995</v>
      </c>
      <c r="M164" s="40">
        <f t="shared" si="687"/>
        <v>342047.33999999997</v>
      </c>
      <c r="N164" s="40">
        <f t="shared" ref="N164:Q164" si="688">SUM(N161,N162)</f>
        <v>226045.54999999993</v>
      </c>
      <c r="O164" s="40">
        <f t="shared" si="688"/>
        <v>111267.67999999993</v>
      </c>
      <c r="P164" s="40">
        <f t="shared" si="688"/>
        <v>-36779.902100000065</v>
      </c>
      <c r="Q164" s="40">
        <f t="shared" si="688"/>
        <v>21215664.411093868</v>
      </c>
      <c r="R164" s="40">
        <f t="shared" ref="R164:AD164" si="689">SUM(R161,R162)</f>
        <v>21064437.759993866</v>
      </c>
      <c r="S164" s="40">
        <f t="shared" si="689"/>
        <v>20894246.583930865</v>
      </c>
      <c r="T164" s="40">
        <f t="shared" si="689"/>
        <v>20725403.713309865</v>
      </c>
      <c r="U164" s="40">
        <f t="shared" si="689"/>
        <v>20558074.546255868</v>
      </c>
      <c r="V164" s="40">
        <f t="shared" si="689"/>
        <v>20351211.268624585</v>
      </c>
      <c r="W164" s="40">
        <f t="shared" si="689"/>
        <v>20146122.833574265</v>
      </c>
      <c r="X164" s="40">
        <f t="shared" si="689"/>
        <v>19943119.094323657</v>
      </c>
      <c r="Y164" s="40">
        <f t="shared" si="689"/>
        <v>19719225.257019985</v>
      </c>
      <c r="Z164" s="40">
        <f t="shared" si="689"/>
        <v>19479916.183050372</v>
      </c>
      <c r="AA164" s="40">
        <f t="shared" si="689"/>
        <v>19243372.932068523</v>
      </c>
      <c r="AB164" s="40">
        <f t="shared" si="689"/>
        <v>18986523.979197051</v>
      </c>
      <c r="AC164" s="40">
        <f t="shared" si="689"/>
        <v>18715246.646338448</v>
      </c>
      <c r="AD164" s="40">
        <f t="shared" si="689"/>
        <v>18427392.959546108</v>
      </c>
      <c r="AE164" s="40">
        <f t="shared" ref="AE164:BN164" si="690">SUM(AE161,AE162)</f>
        <v>18128723.370791018</v>
      </c>
      <c r="AF164" s="40">
        <f t="shared" si="690"/>
        <v>17810248.116759703</v>
      </c>
      <c r="AG164" s="40">
        <f t="shared" si="690"/>
        <v>17490400.245392114</v>
      </c>
      <c r="AH164" s="40">
        <f t="shared" si="690"/>
        <v>17135736.76080972</v>
      </c>
      <c r="AI164" s="40">
        <f t="shared" si="690"/>
        <v>16787113.474111035</v>
      </c>
      <c r="AJ164" s="40">
        <f t="shared" si="690"/>
        <v>16421031.868580926</v>
      </c>
      <c r="AK164" s="40">
        <f t="shared" si="690"/>
        <v>16025013.25751101</v>
      </c>
      <c r="AL164" s="40">
        <f t="shared" si="690"/>
        <v>15630090.541559061</v>
      </c>
      <c r="AM164" s="40">
        <f t="shared" si="690"/>
        <v>15214457.021971539</v>
      </c>
      <c r="AN164" s="40">
        <f t="shared" si="690"/>
        <v>14773223.058692012</v>
      </c>
      <c r="AO164" s="40">
        <f t="shared" si="690"/>
        <v>14318359.753381673</v>
      </c>
      <c r="AP164" s="40">
        <f t="shared" si="690"/>
        <v>13845934.980285505</v>
      </c>
      <c r="AQ164" s="40">
        <f t="shared" si="690"/>
        <v>13357401.361321667</v>
      </c>
      <c r="AR164" s="40">
        <f t="shared" si="690"/>
        <v>12853521.545635283</v>
      </c>
      <c r="AS164" s="40">
        <f t="shared" si="690"/>
        <v>12337298.094564298</v>
      </c>
      <c r="AT164" s="40">
        <f t="shared" si="690"/>
        <v>11784519.760408465</v>
      </c>
      <c r="AU164" s="40">
        <f t="shared" si="690"/>
        <v>11218621.654889174</v>
      </c>
      <c r="AV164" s="40">
        <f t="shared" si="690"/>
        <v>10627809.965626158</v>
      </c>
      <c r="AW164" s="40">
        <f t="shared" si="690"/>
        <v>10005306.06700775</v>
      </c>
      <c r="AX164" s="40">
        <f t="shared" si="690"/>
        <v>9359728.1230585556</v>
      </c>
      <c r="AY164" s="40">
        <f t="shared" si="690"/>
        <v>8692202.8276034463</v>
      </c>
      <c r="AZ164" s="40">
        <f t="shared" si="690"/>
        <v>7983374.3763370477</v>
      </c>
      <c r="BA164" s="40">
        <f t="shared" si="690"/>
        <v>7255690.5469851363</v>
      </c>
      <c r="BB164" s="40">
        <f t="shared" si="690"/>
        <v>6494781.3315016944</v>
      </c>
      <c r="BC164" s="40">
        <f t="shared" si="690"/>
        <v>5713647.077867534</v>
      </c>
      <c r="BD164" s="40">
        <f t="shared" si="690"/>
        <v>4887761.4183877856</v>
      </c>
      <c r="BE164" s="40">
        <f t="shared" si="690"/>
        <v>4022873.1959303282</v>
      </c>
      <c r="BF164" s="40">
        <f t="shared" si="690"/>
        <v>3124036.4861539081</v>
      </c>
      <c r="BG164" s="40">
        <f t="shared" si="690"/>
        <v>2195732.8138878196</v>
      </c>
      <c r="BH164" s="40">
        <f t="shared" si="690"/>
        <v>1214643.3495398238</v>
      </c>
      <c r="BI164" s="40">
        <f t="shared" si="690"/>
        <v>191219.3998430036</v>
      </c>
      <c r="BJ164" s="40">
        <f t="shared" si="690"/>
        <v>-881781.33283862099</v>
      </c>
      <c r="BK164" s="40">
        <f t="shared" si="690"/>
        <v>-2005883.7569662407</v>
      </c>
      <c r="BL164" s="40">
        <f t="shared" si="690"/>
        <v>-3176937.5664666891</v>
      </c>
      <c r="BM164" s="40">
        <f t="shared" si="690"/>
        <v>-4418538.4433480427</v>
      </c>
      <c r="BN164" s="40">
        <f t="shared" si="690"/>
        <v>-5717761.566666659</v>
      </c>
    </row>
    <row r="165" spans="1:66" ht="3" customHeight="1" x14ac:dyDescent="0.3"/>
    <row r="166" spans="1:66" x14ac:dyDescent="0.3">
      <c r="C166" s="6" t="s">
        <v>119</v>
      </c>
      <c r="E166" s="6" t="b" cm="1">
        <f t="array" ref="E166">AND(ABS(G166:AD166) &lt; 0.000001)</f>
        <v>1</v>
      </c>
      <c r="G166" s="30">
        <f t="shared" ref="G166:AD166" si="691">G143-G157-G164</f>
        <v>0</v>
      </c>
      <c r="H166" s="30">
        <f t="shared" si="691"/>
        <v>0</v>
      </c>
      <c r="I166" s="30">
        <f t="shared" si="691"/>
        <v>0</v>
      </c>
      <c r="J166" s="30">
        <f t="shared" si="691"/>
        <v>0</v>
      </c>
      <c r="K166" s="30">
        <f t="shared" si="691"/>
        <v>0</v>
      </c>
      <c r="L166" s="30">
        <f t="shared" si="691"/>
        <v>0</v>
      </c>
      <c r="M166" s="30">
        <f t="shared" si="691"/>
        <v>0</v>
      </c>
      <c r="N166" s="30">
        <f t="shared" si="691"/>
        <v>0</v>
      </c>
      <c r="O166" s="30">
        <f t="shared" si="691"/>
        <v>0</v>
      </c>
      <c r="P166" s="30">
        <f t="shared" si="691"/>
        <v>0</v>
      </c>
      <c r="Q166" s="30">
        <f t="shared" si="691"/>
        <v>0</v>
      </c>
      <c r="R166" s="30">
        <f t="shared" si="691"/>
        <v>0</v>
      </c>
      <c r="S166" s="30">
        <f t="shared" si="691"/>
        <v>0</v>
      </c>
      <c r="T166" s="30">
        <f t="shared" si="691"/>
        <v>0</v>
      </c>
      <c r="U166" s="30">
        <f t="shared" si="691"/>
        <v>0</v>
      </c>
      <c r="V166" s="30">
        <f t="shared" si="691"/>
        <v>0</v>
      </c>
      <c r="W166" s="30">
        <f t="shared" si="691"/>
        <v>0</v>
      </c>
      <c r="X166" s="30">
        <f t="shared" si="691"/>
        <v>0</v>
      </c>
      <c r="Y166" s="30">
        <f t="shared" si="691"/>
        <v>0</v>
      </c>
      <c r="Z166" s="30">
        <f t="shared" si="691"/>
        <v>0</v>
      </c>
      <c r="AA166" s="30">
        <f t="shared" si="691"/>
        <v>0</v>
      </c>
      <c r="AB166" s="30">
        <f t="shared" si="691"/>
        <v>0</v>
      </c>
      <c r="AC166" s="30">
        <f t="shared" si="691"/>
        <v>0</v>
      </c>
      <c r="AD166" s="30">
        <f t="shared" si="691"/>
        <v>0</v>
      </c>
      <c r="AE166" s="30">
        <f t="shared" ref="AE166:BN166" si="692">AE143-AE157-AE164</f>
        <v>0</v>
      </c>
      <c r="AF166" s="30">
        <f t="shared" si="692"/>
        <v>0</v>
      </c>
      <c r="AG166" s="30">
        <f t="shared" si="692"/>
        <v>0</v>
      </c>
      <c r="AH166" s="30">
        <f t="shared" si="692"/>
        <v>0</v>
      </c>
      <c r="AI166" s="30">
        <f t="shared" si="692"/>
        <v>0</v>
      </c>
      <c r="AJ166" s="30">
        <f t="shared" si="692"/>
        <v>0</v>
      </c>
      <c r="AK166" s="30">
        <f t="shared" si="692"/>
        <v>0</v>
      </c>
      <c r="AL166" s="30">
        <f t="shared" si="692"/>
        <v>0</v>
      </c>
      <c r="AM166" s="30">
        <f t="shared" si="692"/>
        <v>0</v>
      </c>
      <c r="AN166" s="30">
        <f t="shared" si="692"/>
        <v>0</v>
      </c>
      <c r="AO166" s="30">
        <f t="shared" si="692"/>
        <v>0</v>
      </c>
      <c r="AP166" s="30">
        <f t="shared" si="692"/>
        <v>0</v>
      </c>
      <c r="AQ166" s="30">
        <f t="shared" si="692"/>
        <v>0</v>
      </c>
      <c r="AR166" s="30">
        <f t="shared" si="692"/>
        <v>0</v>
      </c>
      <c r="AS166" s="30">
        <f t="shared" si="692"/>
        <v>0</v>
      </c>
      <c r="AT166" s="30">
        <f t="shared" si="692"/>
        <v>0</v>
      </c>
      <c r="AU166" s="30">
        <f t="shared" si="692"/>
        <v>0</v>
      </c>
      <c r="AV166" s="30">
        <f t="shared" si="692"/>
        <v>0</v>
      </c>
      <c r="AW166" s="30">
        <f t="shared" si="692"/>
        <v>0</v>
      </c>
      <c r="AX166" s="30">
        <f t="shared" si="692"/>
        <v>0</v>
      </c>
      <c r="AY166" s="30">
        <f t="shared" si="692"/>
        <v>0</v>
      </c>
      <c r="AZ166" s="30">
        <f t="shared" si="692"/>
        <v>0</v>
      </c>
      <c r="BA166" s="30">
        <f t="shared" si="692"/>
        <v>0</v>
      </c>
      <c r="BB166" s="30">
        <f t="shared" si="692"/>
        <v>0</v>
      </c>
      <c r="BC166" s="30">
        <f t="shared" si="692"/>
        <v>0</v>
      </c>
      <c r="BD166" s="30">
        <f t="shared" si="692"/>
        <v>0</v>
      </c>
      <c r="BE166" s="30">
        <f t="shared" si="692"/>
        <v>-5.5879354476928711E-9</v>
      </c>
      <c r="BF166" s="30">
        <f t="shared" si="692"/>
        <v>-6.5192580223083496E-9</v>
      </c>
      <c r="BG166" s="30">
        <f t="shared" si="692"/>
        <v>-6.5192580223083496E-9</v>
      </c>
      <c r="BH166" s="30">
        <f t="shared" si="692"/>
        <v>-4.6566128730773926E-9</v>
      </c>
      <c r="BI166" s="30">
        <f t="shared" si="692"/>
        <v>-5.5879354476928711E-9</v>
      </c>
      <c r="BJ166" s="30">
        <f t="shared" si="692"/>
        <v>-7.4505805969238281E-9</v>
      </c>
      <c r="BK166" s="30">
        <f t="shared" si="692"/>
        <v>-7.9162418842315674E-9</v>
      </c>
      <c r="BL166" s="30">
        <f t="shared" si="692"/>
        <v>-7.4505805969238281E-9</v>
      </c>
      <c r="BM166" s="30">
        <f t="shared" si="692"/>
        <v>-7.4505805969238281E-9</v>
      </c>
      <c r="BN166" s="30">
        <f t="shared" si="692"/>
        <v>-7.4505805969238281E-9</v>
      </c>
    </row>
    <row r="168" spans="1:66" x14ac:dyDescent="0.3">
      <c r="A168" s="22" t="s">
        <v>0</v>
      </c>
      <c r="B168" s="22" t="s">
        <v>0</v>
      </c>
      <c r="C168" s="53" t="s">
        <v>112</v>
      </c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</row>
    <row r="170" spans="1:66" x14ac:dyDescent="0.3">
      <c r="B170" s="22" t="s">
        <v>0</v>
      </c>
      <c r="C170" s="4" t="s">
        <v>113</v>
      </c>
    </row>
    <row r="171" spans="1:66" ht="3" customHeight="1" x14ac:dyDescent="0.3"/>
    <row r="172" spans="1:66" x14ac:dyDescent="0.3">
      <c r="C172" t="s">
        <v>110</v>
      </c>
      <c r="G172" s="37">
        <f t="shared" ref="G172:AD172" si="693">G131</f>
        <v>-84882.75</v>
      </c>
      <c r="H172" s="37">
        <f t="shared" si="693"/>
        <v>-83495.100000000006</v>
      </c>
      <c r="I172" s="37">
        <f t="shared" si="693"/>
        <v>-82170.45</v>
      </c>
      <c r="J172" s="37">
        <f t="shared" si="693"/>
        <v>-97906.8</v>
      </c>
      <c r="K172" s="37">
        <f t="shared" si="693"/>
        <v>-96753.4</v>
      </c>
      <c r="L172" s="37">
        <f t="shared" si="693"/>
        <v>-95571.05</v>
      </c>
      <c r="M172" s="37">
        <f t="shared" si="693"/>
        <v>-117173.11000000002</v>
      </c>
      <c r="N172" s="37">
        <f t="shared" si="693"/>
        <v>-116001.79</v>
      </c>
      <c r="O172" s="37">
        <f t="shared" si="693"/>
        <v>-114777.86999999998</v>
      </c>
      <c r="P172" s="37">
        <f t="shared" si="693"/>
        <v>-148047.5821</v>
      </c>
      <c r="Q172" s="37">
        <f t="shared" si="693"/>
        <v>-146619.21179999999</v>
      </c>
      <c r="R172" s="37">
        <f t="shared" si="693"/>
        <v>-151226.65109999999</v>
      </c>
      <c r="S172" s="37">
        <f t="shared" si="693"/>
        <v>-170191.17606299999</v>
      </c>
      <c r="T172" s="37">
        <f t="shared" si="693"/>
        <v>-168842.87062100001</v>
      </c>
      <c r="U172" s="37">
        <f t="shared" si="693"/>
        <v>-167329.16705400002</v>
      </c>
      <c r="V172" s="37">
        <f t="shared" si="693"/>
        <v>-206863.27763128004</v>
      </c>
      <c r="W172" s="37">
        <f t="shared" si="693"/>
        <v>-205088.43505032</v>
      </c>
      <c r="X172" s="37">
        <f t="shared" si="693"/>
        <v>-203003.73925061</v>
      </c>
      <c r="Y172" s="37">
        <f t="shared" si="693"/>
        <v>-223893.83730367129</v>
      </c>
      <c r="Z172" s="37">
        <f t="shared" si="693"/>
        <v>-239309.07396961169</v>
      </c>
      <c r="AA172" s="37">
        <f t="shared" si="693"/>
        <v>-236543.25098185043</v>
      </c>
      <c r="AB172" s="37">
        <f t="shared" si="693"/>
        <v>-256848.95287147266</v>
      </c>
      <c r="AC172" s="37">
        <f t="shared" si="693"/>
        <v>-271277.33285860042</v>
      </c>
      <c r="AD172" s="37">
        <f t="shared" si="693"/>
        <v>-287853.6867923406</v>
      </c>
      <c r="AE172" s="37">
        <f t="shared" ref="AE172:BN172" si="694">AE131</f>
        <v>-298669.58875509218</v>
      </c>
      <c r="AF172" s="37">
        <f t="shared" si="694"/>
        <v>-318475.25403131562</v>
      </c>
      <c r="AG172" s="37">
        <f t="shared" si="694"/>
        <v>-319847.87136758678</v>
      </c>
      <c r="AH172" s="37">
        <f t="shared" si="694"/>
        <v>-354663.48458239355</v>
      </c>
      <c r="AI172" s="37">
        <f t="shared" si="694"/>
        <v>-348623.28669868584</v>
      </c>
      <c r="AJ172" s="37">
        <f t="shared" si="694"/>
        <v>-366081.60553010949</v>
      </c>
      <c r="AK172" s="37">
        <f t="shared" si="694"/>
        <v>-396018.61106991582</v>
      </c>
      <c r="AL172" s="37">
        <f t="shared" si="694"/>
        <v>-394922.71595194901</v>
      </c>
      <c r="AM172" s="37">
        <f t="shared" si="694"/>
        <v>-415633.51958752144</v>
      </c>
      <c r="AN172" s="37">
        <f t="shared" si="694"/>
        <v>-441233.96327952784</v>
      </c>
      <c r="AO172" s="37">
        <f t="shared" si="694"/>
        <v>-454863.30531034002</v>
      </c>
      <c r="AP172" s="37">
        <f t="shared" si="694"/>
        <v>-472424.77309616795</v>
      </c>
      <c r="AQ172" s="37">
        <f t="shared" si="694"/>
        <v>-488533.61896383774</v>
      </c>
      <c r="AR172" s="37">
        <f t="shared" si="694"/>
        <v>-503879.81568638509</v>
      </c>
      <c r="AS172" s="37">
        <f t="shared" si="694"/>
        <v>-516223.45107098506</v>
      </c>
      <c r="AT172" s="37">
        <f t="shared" si="694"/>
        <v>-552778.33415583381</v>
      </c>
      <c r="AU172" s="37">
        <f t="shared" si="694"/>
        <v>-565898.1055192916</v>
      </c>
      <c r="AV172" s="37">
        <f t="shared" si="694"/>
        <v>-590811.68926301622</v>
      </c>
      <c r="AW172" s="37">
        <f t="shared" si="694"/>
        <v>-622503.89861840755</v>
      </c>
      <c r="AX172" s="37">
        <f t="shared" si="694"/>
        <v>-645577.94394919497</v>
      </c>
      <c r="AY172" s="37">
        <f t="shared" si="694"/>
        <v>-667525.29545510875</v>
      </c>
      <c r="AZ172" s="37">
        <f t="shared" si="694"/>
        <v>-708828.45126639958</v>
      </c>
      <c r="BA172" s="37">
        <f t="shared" si="694"/>
        <v>-727683.82935191155</v>
      </c>
      <c r="BB172" s="37">
        <f t="shared" si="694"/>
        <v>-760909.21548344148</v>
      </c>
      <c r="BC172" s="37">
        <f t="shared" si="694"/>
        <v>-781134.25363415945</v>
      </c>
      <c r="BD172" s="37">
        <f t="shared" si="694"/>
        <v>-825885.65947975032</v>
      </c>
      <c r="BE172" s="37">
        <f t="shared" si="694"/>
        <v>-864888.22245745896</v>
      </c>
      <c r="BF172" s="37">
        <f t="shared" si="694"/>
        <v>-898836.70977642154</v>
      </c>
      <c r="BG172" s="37">
        <f t="shared" si="694"/>
        <v>-928303.67226608889</v>
      </c>
      <c r="BH172" s="37">
        <f t="shared" si="694"/>
        <v>-981089.46434799442</v>
      </c>
      <c r="BI172" s="37">
        <f t="shared" si="694"/>
        <v>-1023423.9496968198</v>
      </c>
      <c r="BJ172" s="37">
        <f t="shared" si="694"/>
        <v>-1073000.732681626</v>
      </c>
      <c r="BK172" s="37">
        <f t="shared" si="694"/>
        <v>-1124102.4241276206</v>
      </c>
      <c r="BL172" s="37">
        <f t="shared" si="694"/>
        <v>-1171053.8095004479</v>
      </c>
      <c r="BM172" s="37">
        <f t="shared" si="694"/>
        <v>-1241600.8768813526</v>
      </c>
      <c r="BN172" s="37">
        <f t="shared" si="694"/>
        <v>-1299223.1233186172</v>
      </c>
    </row>
    <row r="173" spans="1:66" x14ac:dyDescent="0.3">
      <c r="C173" t="s">
        <v>138</v>
      </c>
      <c r="G173" s="30">
        <f t="shared" ref="G173:AD173" si="695">F141-G141</f>
        <v>-702.08333333333326</v>
      </c>
      <c r="H173" s="30">
        <f t="shared" si="695"/>
        <v>-695.41666666666674</v>
      </c>
      <c r="I173" s="30">
        <f t="shared" si="695"/>
        <v>-703.75</v>
      </c>
      <c r="J173" s="30">
        <f t="shared" si="695"/>
        <v>-712.08333333333303</v>
      </c>
      <c r="K173" s="30">
        <f t="shared" si="695"/>
        <v>-735</v>
      </c>
      <c r="L173" s="30">
        <f t="shared" si="695"/>
        <v>-762.91666666666697</v>
      </c>
      <c r="M173" s="30">
        <f t="shared" si="695"/>
        <v>-800.83333333333303</v>
      </c>
      <c r="N173" s="30">
        <f t="shared" si="695"/>
        <v>-843.33333333333303</v>
      </c>
      <c r="O173" s="30">
        <f t="shared" si="695"/>
        <v>-895.83333333333394</v>
      </c>
      <c r="P173" s="30">
        <f t="shared" si="695"/>
        <v>-952.91666666666606</v>
      </c>
      <c r="Q173" s="30">
        <f t="shared" si="695"/>
        <v>-1015</v>
      </c>
      <c r="R173" s="30">
        <f t="shared" si="695"/>
        <v>-1086.6666666666661</v>
      </c>
      <c r="S173" s="30">
        <f t="shared" si="695"/>
        <v>-1086.25</v>
      </c>
      <c r="T173" s="30">
        <f t="shared" si="695"/>
        <v>-1168.3333333333339</v>
      </c>
      <c r="U173" s="30">
        <f t="shared" si="695"/>
        <v>-1260</v>
      </c>
      <c r="V173" s="30">
        <f t="shared" si="695"/>
        <v>-1366.25</v>
      </c>
      <c r="W173" s="30">
        <f t="shared" si="695"/>
        <v>-1477.5</v>
      </c>
      <c r="X173" s="30">
        <f t="shared" si="695"/>
        <v>-1598.7499999999982</v>
      </c>
      <c r="Y173" s="30">
        <f t="shared" si="695"/>
        <v>-1734.5833333333358</v>
      </c>
      <c r="Z173" s="30">
        <f t="shared" si="695"/>
        <v>-1885</v>
      </c>
      <c r="AA173" s="30">
        <f t="shared" si="695"/>
        <v>-2045</v>
      </c>
      <c r="AB173" s="30">
        <f t="shared" si="695"/>
        <v>-2229.5833333333321</v>
      </c>
      <c r="AC173" s="30">
        <f t="shared" si="695"/>
        <v>-2424.1666666666679</v>
      </c>
      <c r="AD173" s="30">
        <f t="shared" si="695"/>
        <v>-2628.3333333333321</v>
      </c>
      <c r="AE173" s="30">
        <f t="shared" ref="AE173" si="696">AD141-AE141</f>
        <v>-2701.6666666666679</v>
      </c>
      <c r="AF173" s="30">
        <f t="shared" ref="AF173" si="697">AE141-AF141</f>
        <v>-2940.8333333333285</v>
      </c>
      <c r="AG173" s="30">
        <f t="shared" ref="AG173" si="698">AF141-AG141</f>
        <v>-3204.5833333333358</v>
      </c>
      <c r="AH173" s="30">
        <f t="shared" ref="AH173" si="699">AG141-AH141</f>
        <v>-3497.9166666666642</v>
      </c>
      <c r="AI173" s="30">
        <f t="shared" ref="AI173" si="700">AH141-AI141</f>
        <v>-3805.8333333333358</v>
      </c>
      <c r="AJ173" s="30">
        <f t="shared" ref="AJ173" si="701">AI141-AJ141</f>
        <v>-4152.9166666666642</v>
      </c>
      <c r="AK173" s="30">
        <f t="shared" ref="AK173" si="702">AJ141-AK141</f>
        <v>-4529.5833333333358</v>
      </c>
      <c r="AL173" s="30">
        <f t="shared" ref="AL173" si="703">AK141-AL141</f>
        <v>-4936.25</v>
      </c>
      <c r="AM173" s="30">
        <f t="shared" ref="AM173" si="704">AL141-AM141</f>
        <v>-5382.0833333333358</v>
      </c>
      <c r="AN173" s="30">
        <f t="shared" ref="AN173" si="705">AM141-AN141</f>
        <v>-5867.0833333333285</v>
      </c>
      <c r="AO173" s="30">
        <f t="shared" ref="AO173" si="706">AN141-AO141</f>
        <v>-6410.8333333333285</v>
      </c>
      <c r="AP173" s="30">
        <f t="shared" ref="AP173" si="707">AO141-AP141</f>
        <v>-6994.583333333343</v>
      </c>
      <c r="AQ173" s="30">
        <f t="shared" ref="AQ173" si="708">AP141-AQ141</f>
        <v>-7627.916666666657</v>
      </c>
      <c r="AR173" s="30">
        <f t="shared" ref="AR173" si="709">AQ141-AR141</f>
        <v>-8334.583333333343</v>
      </c>
      <c r="AS173" s="30">
        <f t="shared" ref="AS173" si="710">AR141-AS141</f>
        <v>-9105.416666666657</v>
      </c>
      <c r="AT173" s="30">
        <f t="shared" ref="AT173" si="711">AS141-AT141</f>
        <v>-9935.833333333343</v>
      </c>
      <c r="AU173" s="30">
        <f t="shared" ref="AU173" si="712">AT141-AU141</f>
        <v>-10859.583333333314</v>
      </c>
      <c r="AV173" s="30">
        <f t="shared" ref="AV173" si="713">AU141-AV141</f>
        <v>-11867.083333333343</v>
      </c>
      <c r="AW173" s="30">
        <f t="shared" ref="AW173" si="714">AV141-AW141</f>
        <v>-12968.75</v>
      </c>
      <c r="AX173" s="30">
        <f t="shared" ref="AX173" si="715">AW141-AX141</f>
        <v>-14178.75</v>
      </c>
      <c r="AY173" s="30">
        <f t="shared" ref="AY173" si="716">AX141-AY141</f>
        <v>-15497.5</v>
      </c>
      <c r="AZ173" s="30">
        <f t="shared" ref="AZ173" si="717">AY141-AZ141</f>
        <v>-16935</v>
      </c>
      <c r="BA173" s="30">
        <f t="shared" ref="BA173" si="718">AZ141-BA141</f>
        <v>-18515.833333333343</v>
      </c>
      <c r="BB173" s="30">
        <f t="shared" ref="BB173" si="719">BA141-BB141</f>
        <v>-20249.583333333314</v>
      </c>
      <c r="BC173" s="30">
        <f t="shared" ref="BC173" si="720">BB141-BC141</f>
        <v>-22146.666666666686</v>
      </c>
      <c r="BD173" s="30">
        <f t="shared" ref="BD173" si="721">BC141-BD141</f>
        <v>-24227.083333333314</v>
      </c>
      <c r="BE173" s="30">
        <f t="shared" ref="BE173" si="722">BD141-BE141</f>
        <v>-26490.833333333314</v>
      </c>
      <c r="BF173" s="30">
        <f t="shared" ref="BF173" si="723">BE141-BF141</f>
        <v>-28986.25</v>
      </c>
      <c r="BG173" s="30">
        <f t="shared" ref="BG173" si="724">BF141-BG141</f>
        <v>-31715</v>
      </c>
      <c r="BH173" s="30">
        <f t="shared" ref="BH173" si="725">BG141-BH141</f>
        <v>-34706.25</v>
      </c>
      <c r="BI173" s="30">
        <f t="shared" ref="BI173" si="726">BH141-BI141</f>
        <v>-37979.583333333372</v>
      </c>
      <c r="BJ173" s="30">
        <f t="shared" ref="BJ173" si="727">BI141-BJ141</f>
        <v>-41575</v>
      </c>
      <c r="BK173" s="30">
        <f t="shared" ref="BK173" si="728">BJ141-BK141</f>
        <v>-45507.5</v>
      </c>
      <c r="BL173" s="30">
        <f t="shared" ref="BL173" si="729">BK141-BL141</f>
        <v>-49812.083333333256</v>
      </c>
      <c r="BM173" s="30">
        <f t="shared" ref="BM173" si="730">BL141-BM141</f>
        <v>-54532.916666666744</v>
      </c>
      <c r="BN173" s="30">
        <f t="shared" ref="BN173" si="731">BM141-BN141</f>
        <v>-59714.583333333256</v>
      </c>
    </row>
    <row r="174" spans="1:66" x14ac:dyDescent="0.3">
      <c r="C174" t="s">
        <v>144</v>
      </c>
      <c r="G174" s="30">
        <f t="shared" ref="G174:AD174" si="732">G149-F149</f>
        <v>2527.5</v>
      </c>
      <c r="H174" s="30">
        <f t="shared" si="732"/>
        <v>2503.5</v>
      </c>
      <c r="I174" s="30">
        <f t="shared" si="732"/>
        <v>2533.5</v>
      </c>
      <c r="J174" s="30">
        <f t="shared" si="732"/>
        <v>2563.5</v>
      </c>
      <c r="K174" s="30">
        <f t="shared" si="732"/>
        <v>2646</v>
      </c>
      <c r="L174" s="30">
        <f t="shared" si="732"/>
        <v>2746.5</v>
      </c>
      <c r="M174" s="30">
        <f t="shared" si="732"/>
        <v>2883</v>
      </c>
      <c r="N174" s="30">
        <f t="shared" si="732"/>
        <v>3036</v>
      </c>
      <c r="O174" s="30">
        <f t="shared" si="732"/>
        <v>3225</v>
      </c>
      <c r="P174" s="30">
        <f t="shared" si="732"/>
        <v>3430.5</v>
      </c>
      <c r="Q174" s="30">
        <f t="shared" si="732"/>
        <v>3654</v>
      </c>
      <c r="R174" s="30">
        <f t="shared" si="732"/>
        <v>3912</v>
      </c>
      <c r="S174" s="30">
        <f t="shared" si="732"/>
        <v>3910.5</v>
      </c>
      <c r="T174" s="30">
        <f t="shared" si="732"/>
        <v>4206</v>
      </c>
      <c r="U174" s="30">
        <f t="shared" si="732"/>
        <v>4536</v>
      </c>
      <c r="V174" s="30">
        <f t="shared" si="732"/>
        <v>4918.5</v>
      </c>
      <c r="W174" s="30">
        <f t="shared" si="732"/>
        <v>5319</v>
      </c>
      <c r="X174" s="30">
        <f t="shared" si="732"/>
        <v>5755.5</v>
      </c>
      <c r="Y174" s="30">
        <f t="shared" si="732"/>
        <v>6244.5</v>
      </c>
      <c r="Z174" s="30">
        <f t="shared" si="732"/>
        <v>6786</v>
      </c>
      <c r="AA174" s="30">
        <f t="shared" si="732"/>
        <v>7362</v>
      </c>
      <c r="AB174" s="30">
        <f t="shared" si="732"/>
        <v>8026.5</v>
      </c>
      <c r="AC174" s="30">
        <f t="shared" si="732"/>
        <v>8727</v>
      </c>
      <c r="AD174" s="30">
        <f t="shared" si="732"/>
        <v>9462</v>
      </c>
      <c r="AE174" s="30">
        <f t="shared" ref="AE174" si="733">AE149-AD149</f>
        <v>9726</v>
      </c>
      <c r="AF174" s="30">
        <f t="shared" ref="AF174" si="734">AF149-AE149</f>
        <v>10587</v>
      </c>
      <c r="AG174" s="30">
        <f t="shared" ref="AG174" si="735">AG149-AF149</f>
        <v>11536.5</v>
      </c>
      <c r="AH174" s="30">
        <f t="shared" ref="AH174" si="736">AH149-AG149</f>
        <v>12592.5</v>
      </c>
      <c r="AI174" s="30">
        <f t="shared" ref="AI174" si="737">AI149-AH149</f>
        <v>13701</v>
      </c>
      <c r="AJ174" s="30">
        <f t="shared" ref="AJ174" si="738">AJ149-AI149</f>
        <v>14950.5</v>
      </c>
      <c r="AK174" s="30">
        <f t="shared" ref="AK174" si="739">AK149-AJ149</f>
        <v>16306.5</v>
      </c>
      <c r="AL174" s="30">
        <f t="shared" ref="AL174" si="740">AL149-AK149</f>
        <v>17770.5</v>
      </c>
      <c r="AM174" s="30">
        <f t="shared" ref="AM174" si="741">AM149-AL149</f>
        <v>19375.5</v>
      </c>
      <c r="AN174" s="30">
        <f t="shared" ref="AN174" si="742">AN149-AM149</f>
        <v>21121.5</v>
      </c>
      <c r="AO174" s="30">
        <f t="shared" ref="AO174" si="743">AO149-AN149</f>
        <v>23079</v>
      </c>
      <c r="AP174" s="30">
        <f t="shared" ref="AP174" si="744">AP149-AO149</f>
        <v>25180.5</v>
      </c>
      <c r="AQ174" s="30">
        <f t="shared" ref="AQ174" si="745">AQ149-AP149</f>
        <v>27460.5</v>
      </c>
      <c r="AR174" s="30">
        <f t="shared" ref="AR174" si="746">AR149-AQ149</f>
        <v>30004.5</v>
      </c>
      <c r="AS174" s="30">
        <f t="shared" ref="AS174" si="747">AS149-AR149</f>
        <v>32779.5</v>
      </c>
      <c r="AT174" s="30">
        <f t="shared" ref="AT174" si="748">AT149-AS149</f>
        <v>35769</v>
      </c>
      <c r="AU174" s="30">
        <f t="shared" ref="AU174" si="749">AU149-AT149</f>
        <v>39094.5</v>
      </c>
      <c r="AV174" s="30">
        <f t="shared" ref="AV174" si="750">AV149-AU149</f>
        <v>42721.5</v>
      </c>
      <c r="AW174" s="30">
        <f t="shared" ref="AW174" si="751">AW149-AV149</f>
        <v>46687.5</v>
      </c>
      <c r="AX174" s="30">
        <f t="shared" ref="AX174" si="752">AX149-AW149</f>
        <v>51043.5</v>
      </c>
      <c r="AY174" s="30">
        <f t="shared" ref="AY174" si="753">AY149-AX149</f>
        <v>55791</v>
      </c>
      <c r="AZ174" s="30">
        <f t="shared" ref="AZ174" si="754">AZ149-AY149</f>
        <v>60966</v>
      </c>
      <c r="BA174" s="30">
        <f t="shared" ref="BA174" si="755">BA149-AZ149</f>
        <v>66657</v>
      </c>
      <c r="BB174" s="30">
        <f t="shared" ref="BB174" si="756">BB149-BA149</f>
        <v>72898.5</v>
      </c>
      <c r="BC174" s="30">
        <f t="shared" ref="BC174" si="757">BC149-BB149</f>
        <v>79728</v>
      </c>
      <c r="BD174" s="30">
        <f t="shared" ref="BD174" si="758">BD149-BC149</f>
        <v>87217.5</v>
      </c>
      <c r="BE174" s="30">
        <f t="shared" ref="BE174" si="759">BE149-BD149</f>
        <v>95367</v>
      </c>
      <c r="BF174" s="30">
        <f t="shared" ref="BF174" si="760">BF149-BE149</f>
        <v>104350.5</v>
      </c>
      <c r="BG174" s="30">
        <f t="shared" ref="BG174" si="761">BG149-BF149</f>
        <v>114174</v>
      </c>
      <c r="BH174" s="30">
        <f t="shared" ref="BH174" si="762">BH149-BG149</f>
        <v>124942.5</v>
      </c>
      <c r="BI174" s="30">
        <f t="shared" ref="BI174" si="763">BI149-BH149</f>
        <v>136726.5</v>
      </c>
      <c r="BJ174" s="30">
        <f t="shared" ref="BJ174" si="764">BJ149-BI149</f>
        <v>149670</v>
      </c>
      <c r="BK174" s="30">
        <f t="shared" ref="BK174" si="765">BK149-BJ149</f>
        <v>163827</v>
      </c>
      <c r="BL174" s="30">
        <f t="shared" ref="BL174" si="766">BL149-BK149</f>
        <v>179323.5</v>
      </c>
      <c r="BM174" s="30">
        <f t="shared" ref="BM174" si="767">BM149-BL149</f>
        <v>196318.5</v>
      </c>
      <c r="BN174" s="30">
        <f t="shared" ref="BN174" si="768">BN149-BM149</f>
        <v>214972.5</v>
      </c>
    </row>
    <row r="175" spans="1:66" x14ac:dyDescent="0.3">
      <c r="C175" t="s">
        <v>145</v>
      </c>
      <c r="G175" s="30">
        <f t="shared" ref="G175:AD175" si="769">G153-F153</f>
        <v>4044</v>
      </c>
      <c r="H175" s="30">
        <f t="shared" si="769"/>
        <v>4005.6000000000004</v>
      </c>
      <c r="I175" s="30">
        <f t="shared" si="769"/>
        <v>4053.6000000000004</v>
      </c>
      <c r="J175" s="30">
        <f t="shared" si="769"/>
        <v>3088.7999999999993</v>
      </c>
      <c r="K175" s="30">
        <f t="shared" si="769"/>
        <v>3969</v>
      </c>
      <c r="L175" s="30">
        <f t="shared" si="769"/>
        <v>4119.75</v>
      </c>
      <c r="M175" s="30">
        <f t="shared" si="769"/>
        <v>2484.1499999999978</v>
      </c>
      <c r="N175" s="30">
        <f t="shared" si="769"/>
        <v>4250.3999999999978</v>
      </c>
      <c r="O175" s="30">
        <f t="shared" si="769"/>
        <v>4515</v>
      </c>
      <c r="P175" s="30">
        <f t="shared" si="769"/>
        <v>1993.1999999999971</v>
      </c>
      <c r="Q175" s="30">
        <f t="shared" si="769"/>
        <v>4750.1999999999971</v>
      </c>
      <c r="R175" s="30">
        <f t="shared" si="769"/>
        <v>5085.5999999999985</v>
      </c>
      <c r="S175" s="30">
        <f t="shared" si="769"/>
        <v>1126.5000000000073</v>
      </c>
      <c r="T175" s="30">
        <f t="shared" si="769"/>
        <v>5047.1999999999971</v>
      </c>
      <c r="U175" s="30">
        <f t="shared" si="769"/>
        <v>5443.1999999999971</v>
      </c>
      <c r="V175" s="30">
        <f t="shared" si="769"/>
        <v>579</v>
      </c>
      <c r="W175" s="30">
        <f t="shared" si="769"/>
        <v>5850.9000000000015</v>
      </c>
      <c r="X175" s="30">
        <f t="shared" si="769"/>
        <v>6331.0500000000029</v>
      </c>
      <c r="Y175" s="30">
        <f t="shared" si="769"/>
        <v>-186.14999999999418</v>
      </c>
      <c r="Z175" s="30">
        <f t="shared" si="769"/>
        <v>6786</v>
      </c>
      <c r="AA175" s="30">
        <f t="shared" si="769"/>
        <v>7362</v>
      </c>
      <c r="AB175" s="30">
        <f t="shared" si="769"/>
        <v>-1246.0500000000029</v>
      </c>
      <c r="AC175" s="30">
        <f t="shared" si="769"/>
        <v>7854.3000000000029</v>
      </c>
      <c r="AD175" s="30">
        <f t="shared" si="769"/>
        <v>8515.8000000000029</v>
      </c>
      <c r="AE175" s="30">
        <f t="shared" ref="AE175" si="770">AE153-AD153</f>
        <v>-3310.6499999999942</v>
      </c>
      <c r="AF175" s="30">
        <f t="shared" ref="AF175" si="771">AF153-AE153</f>
        <v>8469.5999999999913</v>
      </c>
      <c r="AG175" s="30">
        <f t="shared" ref="AG175" si="772">AG153-AF153</f>
        <v>9229.1999999999971</v>
      </c>
      <c r="AH175" s="30">
        <f t="shared" ref="AH175" si="773">AH153-AG153</f>
        <v>-5461.6499999999796</v>
      </c>
      <c r="AI175" s="30">
        <f t="shared" ref="AI175" si="774">AI153-AH153</f>
        <v>9590.6999999999971</v>
      </c>
      <c r="AJ175" s="30">
        <f t="shared" ref="AJ175" si="775">AJ153-AI153</f>
        <v>10465.349999999991</v>
      </c>
      <c r="AK175" s="30">
        <f t="shared" ref="AK175" si="776">AK153-AJ153</f>
        <v>-8616.8999999999942</v>
      </c>
      <c r="AL175" s="30">
        <f t="shared" ref="AL175" si="777">AL153-AK153</f>
        <v>10662.300000000003</v>
      </c>
      <c r="AM175" s="30">
        <f t="shared" ref="AM175" si="778">AM153-AL153</f>
        <v>11625.300000000003</v>
      </c>
      <c r="AN175" s="30">
        <f t="shared" ref="AN175" si="779">AN153-AM153</f>
        <v>-13185.300000000017</v>
      </c>
      <c r="AO175" s="30">
        <f t="shared" ref="AO175" si="780">AO153-AN153</f>
        <v>11539.5</v>
      </c>
      <c r="AP175" s="30">
        <f t="shared" ref="AP175" si="781">AP153-AO153</f>
        <v>12590.25</v>
      </c>
      <c r="AQ175" s="30">
        <f t="shared" ref="AQ175" si="782">AQ153-AP153</f>
        <v>-19699.950000000012</v>
      </c>
      <c r="AR175" s="30">
        <f t="shared" ref="AR175" si="783">AR153-AQ153</f>
        <v>12001.800000000017</v>
      </c>
      <c r="AS175" s="30">
        <f t="shared" ref="AS175" si="784">AS153-AR153</f>
        <v>13111.799999999988</v>
      </c>
      <c r="AT175" s="30">
        <f t="shared" ref="AT175" si="785">AT153-AS153</f>
        <v>-28977.899999999994</v>
      </c>
      <c r="AU175" s="30">
        <f t="shared" ref="AU175" si="786">AU153-AT153</f>
        <v>11728.350000000006</v>
      </c>
      <c r="AV175" s="30">
        <f t="shared" ref="AV175" si="787">AV153-AU153</f>
        <v>12816.449999999983</v>
      </c>
      <c r="AW175" s="30">
        <f t="shared" ref="AW175" si="788">AW153-AV153</f>
        <v>-42129.600000000006</v>
      </c>
      <c r="AX175" s="30">
        <f t="shared" ref="AX175" si="789">AX153-AW153</f>
        <v>10208.699999999997</v>
      </c>
      <c r="AY175" s="30">
        <f t="shared" ref="AY175" si="790">AY153-AX153</f>
        <v>11158.199999999997</v>
      </c>
      <c r="AZ175" s="30">
        <f t="shared" ref="AZ175" si="791">AZ153-AY153</f>
        <v>-60722.7</v>
      </c>
      <c r="BA175" s="30">
        <f t="shared" ref="BA175" si="792">BA153-AZ153</f>
        <v>6665.6999999999971</v>
      </c>
      <c r="BB175" s="30">
        <f t="shared" ref="BB175" si="793">BB153-BA153</f>
        <v>7289.8499999999913</v>
      </c>
      <c r="BC175" s="30">
        <f t="shared" ref="BC175" si="794">BC153-BB153</f>
        <v>-86871.449999999968</v>
      </c>
      <c r="BD175" s="30">
        <f t="shared" ref="BD175" si="795">BD153-BC153</f>
        <v>0</v>
      </c>
      <c r="BE175" s="30">
        <f t="shared" ref="BE175" si="796">BE153-BD153</f>
        <v>0</v>
      </c>
      <c r="BF175" s="30">
        <f t="shared" ref="BF175" si="797">BF153-BE153</f>
        <v>-123537.75</v>
      </c>
      <c r="BG175" s="30">
        <f t="shared" ref="BG175" si="798">BG153-BF153</f>
        <v>-11417.399999999994</v>
      </c>
      <c r="BH175" s="30">
        <f t="shared" ref="BH175" si="799">BH153-BG153</f>
        <v>-12494.25</v>
      </c>
      <c r="BI175" s="30">
        <f t="shared" ref="BI175" si="800">BI153-BH153</f>
        <v>-174794.70000000004</v>
      </c>
      <c r="BJ175" s="30">
        <f t="shared" ref="BJ175" si="801">BJ153-BI153</f>
        <v>-29934</v>
      </c>
      <c r="BK175" s="30">
        <f t="shared" ref="BK175" si="802">BK153-BJ153</f>
        <v>-32765.399999999965</v>
      </c>
      <c r="BL175" s="30">
        <f t="shared" ref="BL175" si="803">BL153-BK153</f>
        <v>-246268.79999999993</v>
      </c>
      <c r="BM175" s="30">
        <f t="shared" ref="BM175" si="804">BM153-BL153</f>
        <v>-58895.550000000047</v>
      </c>
      <c r="BN175" s="30">
        <f t="shared" ref="BN175" si="805">BN153-BM153</f>
        <v>-64491.75</v>
      </c>
    </row>
    <row r="176" spans="1:66" x14ac:dyDescent="0.3">
      <c r="C176" t="s">
        <v>146</v>
      </c>
      <c r="G176" s="30">
        <f>G155-F155</f>
        <v>16637.5</v>
      </c>
      <c r="H176" s="30">
        <f>H155-G155</f>
        <v>16335</v>
      </c>
      <c r="I176" s="30">
        <f t="shared" ref="I176:AD176" si="806">I155-H155</f>
        <v>15922.5</v>
      </c>
      <c r="J176" s="30">
        <f t="shared" si="806"/>
        <v>15400</v>
      </c>
      <c r="K176" s="30">
        <f t="shared" si="806"/>
        <v>15070</v>
      </c>
      <c r="L176" s="30">
        <f t="shared" si="806"/>
        <v>14602.5</v>
      </c>
      <c r="M176" s="30">
        <f t="shared" si="806"/>
        <v>13997.5</v>
      </c>
      <c r="N176" s="30">
        <f t="shared" si="806"/>
        <v>13557.5</v>
      </c>
      <c r="O176" s="30">
        <f t="shared" si="806"/>
        <v>12952.5</v>
      </c>
      <c r="P176" s="30">
        <f t="shared" si="806"/>
        <v>12485</v>
      </c>
      <c r="Q176" s="30">
        <f t="shared" si="806"/>
        <v>11825</v>
      </c>
      <c r="R176" s="30">
        <f t="shared" si="806"/>
        <v>11275</v>
      </c>
      <c r="S176" s="30">
        <f t="shared" si="806"/>
        <v>22907.5</v>
      </c>
      <c r="T176" s="30">
        <f t="shared" si="806"/>
        <v>23457.5</v>
      </c>
      <c r="U176" s="30">
        <f t="shared" si="806"/>
        <v>24117.5</v>
      </c>
      <c r="V176" s="30">
        <f t="shared" si="806"/>
        <v>24860</v>
      </c>
      <c r="W176" s="30">
        <f t="shared" si="806"/>
        <v>25685</v>
      </c>
      <c r="X176" s="30">
        <f t="shared" si="806"/>
        <v>26262.5</v>
      </c>
      <c r="Y176" s="30">
        <f t="shared" si="806"/>
        <v>26895</v>
      </c>
      <c r="Z176" s="30">
        <f t="shared" si="806"/>
        <v>27885</v>
      </c>
      <c r="AA176" s="30">
        <f t="shared" si="806"/>
        <v>28875</v>
      </c>
      <c r="AB176" s="30">
        <f t="shared" si="806"/>
        <v>30167.5</v>
      </c>
      <c r="AC176" s="30">
        <f t="shared" si="806"/>
        <v>31102.5</v>
      </c>
      <c r="AD176" s="30">
        <f t="shared" si="806"/>
        <v>32312.5</v>
      </c>
      <c r="AE176" s="30">
        <f t="shared" ref="AE176" si="807">AE155-AD155</f>
        <v>34732.5</v>
      </c>
      <c r="AF176" s="30">
        <f t="shared" ref="AF176" si="808">AF155-AE155</f>
        <v>37097.5</v>
      </c>
      <c r="AG176" s="30">
        <f t="shared" ref="AG176" si="809">AG155-AF155</f>
        <v>39710</v>
      </c>
      <c r="AH176" s="30">
        <f t="shared" ref="AH176" si="810">AH155-AG155</f>
        <v>42542.5</v>
      </c>
      <c r="AI176" s="30">
        <f t="shared" ref="AI176" si="811">AI155-AH155</f>
        <v>45567.5</v>
      </c>
      <c r="AJ176" s="30">
        <f t="shared" ref="AJ176" si="812">AJ155-AI155</f>
        <v>48730</v>
      </c>
      <c r="AK176" s="30">
        <f t="shared" ref="AK176" si="813">AK155-AJ155</f>
        <v>52002.5</v>
      </c>
      <c r="AL176" s="30">
        <f t="shared" ref="AL176" si="814">AL155-AK155</f>
        <v>55385</v>
      </c>
      <c r="AM176" s="30">
        <f t="shared" ref="AM176" si="815">AM155-AL155</f>
        <v>59152.5</v>
      </c>
      <c r="AN176" s="30">
        <f t="shared" ref="AN176" si="816">AN155-AM155</f>
        <v>63580</v>
      </c>
      <c r="AO176" s="30">
        <f t="shared" ref="AO176" si="817">AO155-AN155</f>
        <v>68255</v>
      </c>
      <c r="AP176" s="30">
        <f t="shared" ref="AP176" si="818">AP155-AO155</f>
        <v>72847.5</v>
      </c>
      <c r="AQ176" s="30">
        <f t="shared" ref="AQ176" si="819">AQ155-AP155</f>
        <v>77660</v>
      </c>
      <c r="AR176" s="30">
        <f t="shared" ref="AR176" si="820">AR155-AQ155</f>
        <v>83242.5</v>
      </c>
      <c r="AS176" s="30">
        <f t="shared" ref="AS176" si="821">AS155-AR155</f>
        <v>89210</v>
      </c>
      <c r="AT176" s="30">
        <f t="shared" ref="AT176" si="822">AT155-AS155</f>
        <v>95205</v>
      </c>
      <c r="AU176" s="30">
        <f t="shared" ref="AU176" si="823">AU155-AT155</f>
        <v>102107.5</v>
      </c>
      <c r="AV176" s="30">
        <f t="shared" ref="AV176" si="824">AV155-AU155</f>
        <v>109505</v>
      </c>
      <c r="AW176" s="30">
        <f t="shared" ref="AW176" si="825">AW155-AV155</f>
        <v>117012.5</v>
      </c>
      <c r="AX176" s="30">
        <f t="shared" ref="AX176" si="826">AX155-AW155</f>
        <v>125180</v>
      </c>
      <c r="AY176" s="30">
        <f t="shared" ref="AY176" si="827">AY155-AX155</f>
        <v>133925</v>
      </c>
      <c r="AZ176" s="30">
        <f t="shared" ref="AZ176" si="828">AZ155-AY155</f>
        <v>143495</v>
      </c>
      <c r="BA176" s="30">
        <f t="shared" ref="BA176" si="829">BA155-AZ155</f>
        <v>153780</v>
      </c>
      <c r="BB176" s="30">
        <f t="shared" ref="BB176" si="830">BB155-BA155</f>
        <v>164642.5</v>
      </c>
      <c r="BC176" s="30">
        <f t="shared" ref="BC176" si="831">BC155-BB155</f>
        <v>175972.5</v>
      </c>
      <c r="BD176" s="30">
        <f t="shared" ref="BD176" si="832">BD155-BC155</f>
        <v>188320</v>
      </c>
      <c r="BE176" s="30">
        <f t="shared" ref="BE176" si="833">BE155-BD155</f>
        <v>201245</v>
      </c>
      <c r="BF176" s="30">
        <f t="shared" ref="BF176" si="834">BF155-BE155</f>
        <v>215517.5</v>
      </c>
      <c r="BG176" s="30">
        <f t="shared" ref="BG176" si="835">BG155-BF155</f>
        <v>230697.5</v>
      </c>
      <c r="BH176" s="30">
        <f t="shared" ref="BH176" si="836">BH155-BG155</f>
        <v>246950</v>
      </c>
      <c r="BI176" s="30">
        <f t="shared" ref="BI176" si="837">BI155-BH155</f>
        <v>264082.5</v>
      </c>
      <c r="BJ176" s="30">
        <f t="shared" ref="BJ176" si="838">BJ155-BI155</f>
        <v>282562.5</v>
      </c>
      <c r="BK176" s="30">
        <f t="shared" ref="BK176" si="839">BK155-BJ155</f>
        <v>302197.5</v>
      </c>
      <c r="BL176" s="30">
        <f t="shared" ref="BL176" si="840">BL155-BK155</f>
        <v>323125</v>
      </c>
      <c r="BM176" s="30">
        <f t="shared" ref="BM176" si="841">BM155-BL155</f>
        <v>345757.5</v>
      </c>
      <c r="BN176" s="30">
        <f t="shared" ref="BN176" si="842">BN155-BM155</f>
        <v>370150</v>
      </c>
    </row>
    <row r="177" spans="2:66" x14ac:dyDescent="0.3">
      <c r="C177" s="31" t="s">
        <v>113</v>
      </c>
      <c r="D177" s="31"/>
      <c r="E177" s="31"/>
      <c r="F177" s="31"/>
      <c r="G177" s="39">
        <f>SUM(G172:G176)</f>
        <v>-62375.833333333328</v>
      </c>
      <c r="H177" s="39">
        <f t="shared" ref="H177:AD177" si="843">SUM(H172:H176)</f>
        <v>-61346.416666666672</v>
      </c>
      <c r="I177" s="39">
        <f t="shared" si="843"/>
        <v>-60364.599999999991</v>
      </c>
      <c r="J177" s="39">
        <f t="shared" si="843"/>
        <v>-77566.583333333328</v>
      </c>
      <c r="K177" s="39">
        <f t="shared" si="843"/>
        <v>-75803.399999999994</v>
      </c>
      <c r="L177" s="39">
        <f t="shared" si="843"/>
        <v>-74865.216666666674</v>
      </c>
      <c r="M177" s="39">
        <f t="shared" si="843"/>
        <v>-98609.293333333349</v>
      </c>
      <c r="N177" s="39">
        <f t="shared" si="843"/>
        <v>-96001.223333333328</v>
      </c>
      <c r="O177" s="39">
        <f t="shared" si="843"/>
        <v>-94981.203333333309</v>
      </c>
      <c r="P177" s="39">
        <f t="shared" si="843"/>
        <v>-131091.79876666667</v>
      </c>
      <c r="Q177" s="39">
        <f t="shared" si="843"/>
        <v>-127405.01179999998</v>
      </c>
      <c r="R177" s="39">
        <f t="shared" si="843"/>
        <v>-132040.71776666664</v>
      </c>
      <c r="S177" s="39">
        <f t="shared" si="843"/>
        <v>-143332.92606299999</v>
      </c>
      <c r="T177" s="39">
        <f t="shared" si="843"/>
        <v>-137300.50395433337</v>
      </c>
      <c r="U177" s="39">
        <f t="shared" si="843"/>
        <v>-134492.46705400001</v>
      </c>
      <c r="V177" s="39">
        <f t="shared" si="843"/>
        <v>-177872.02763128004</v>
      </c>
      <c r="W177" s="39">
        <f t="shared" si="843"/>
        <v>-169711.03505032</v>
      </c>
      <c r="X177" s="39">
        <f t="shared" si="843"/>
        <v>-166253.43925061001</v>
      </c>
      <c r="Y177" s="39">
        <f t="shared" si="843"/>
        <v>-192675.07063700462</v>
      </c>
      <c r="Z177" s="39">
        <f t="shared" si="843"/>
        <v>-199737.07396961169</v>
      </c>
      <c r="AA177" s="39">
        <f t="shared" si="843"/>
        <v>-194989.25098185043</v>
      </c>
      <c r="AB177" s="39">
        <f t="shared" si="843"/>
        <v>-222130.58620480599</v>
      </c>
      <c r="AC177" s="39">
        <f t="shared" si="843"/>
        <v>-226017.69952526712</v>
      </c>
      <c r="AD177" s="39">
        <f t="shared" si="843"/>
        <v>-240191.72012567392</v>
      </c>
      <c r="AE177" s="39">
        <f t="shared" ref="AE177:BN177" si="844">SUM(AE172:AE176)</f>
        <v>-260223.40542175889</v>
      </c>
      <c r="AF177" s="39">
        <f t="shared" si="844"/>
        <v>-265261.98736464896</v>
      </c>
      <c r="AG177" s="39">
        <f t="shared" si="844"/>
        <v>-262576.75470092008</v>
      </c>
      <c r="AH177" s="39">
        <f t="shared" si="844"/>
        <v>-308488.0512490602</v>
      </c>
      <c r="AI177" s="39">
        <f t="shared" si="844"/>
        <v>-283569.92003201914</v>
      </c>
      <c r="AJ177" s="39">
        <f t="shared" si="844"/>
        <v>-296088.6721967762</v>
      </c>
      <c r="AK177" s="39">
        <f t="shared" si="844"/>
        <v>-340856.0944032491</v>
      </c>
      <c r="AL177" s="39">
        <f t="shared" si="844"/>
        <v>-316041.16595194902</v>
      </c>
      <c r="AM177" s="39">
        <f t="shared" si="844"/>
        <v>-330862.30292085477</v>
      </c>
      <c r="AN177" s="39">
        <f t="shared" si="844"/>
        <v>-375584.84661286115</v>
      </c>
      <c r="AO177" s="39">
        <f t="shared" si="844"/>
        <v>-358400.63864367333</v>
      </c>
      <c r="AP177" s="39">
        <f t="shared" si="844"/>
        <v>-368801.10642950132</v>
      </c>
      <c r="AQ177" s="39">
        <f t="shared" si="844"/>
        <v>-410740.98563050438</v>
      </c>
      <c r="AR177" s="39">
        <f t="shared" si="844"/>
        <v>-386965.59901971836</v>
      </c>
      <c r="AS177" s="39">
        <f t="shared" si="844"/>
        <v>-390227.5677376517</v>
      </c>
      <c r="AT177" s="39">
        <f t="shared" si="844"/>
        <v>-460718.06748916721</v>
      </c>
      <c r="AU177" s="39">
        <f t="shared" si="844"/>
        <v>-423827.33885262499</v>
      </c>
      <c r="AV177" s="39">
        <f t="shared" si="844"/>
        <v>-437635.82259634964</v>
      </c>
      <c r="AW177" s="39">
        <f t="shared" si="844"/>
        <v>-513902.24861840752</v>
      </c>
      <c r="AX177" s="39">
        <f t="shared" si="844"/>
        <v>-473324.49394919502</v>
      </c>
      <c r="AY177" s="39">
        <f t="shared" si="844"/>
        <v>-482148.59545510879</v>
      </c>
      <c r="AZ177" s="39">
        <f t="shared" si="844"/>
        <v>-582025.15126639954</v>
      </c>
      <c r="BA177" s="39">
        <f t="shared" si="844"/>
        <v>-519096.96268524497</v>
      </c>
      <c r="BB177" s="39">
        <f t="shared" si="844"/>
        <v>-536327.94881677476</v>
      </c>
      <c r="BC177" s="39">
        <f t="shared" si="844"/>
        <v>-634451.87030082615</v>
      </c>
      <c r="BD177" s="39">
        <f t="shared" si="844"/>
        <v>-574575.24281308358</v>
      </c>
      <c r="BE177" s="39">
        <f t="shared" si="844"/>
        <v>-594767.05579079222</v>
      </c>
      <c r="BF177" s="39">
        <f t="shared" si="844"/>
        <v>-731492.70977642154</v>
      </c>
      <c r="BG177" s="39">
        <f t="shared" si="844"/>
        <v>-626564.57226608892</v>
      </c>
      <c r="BH177" s="39">
        <f t="shared" si="844"/>
        <v>-656397.46434799442</v>
      </c>
      <c r="BI177" s="39">
        <f t="shared" si="844"/>
        <v>-835389.23303015321</v>
      </c>
      <c r="BJ177" s="39">
        <f t="shared" si="844"/>
        <v>-712277.23268162599</v>
      </c>
      <c r="BK177" s="39">
        <f t="shared" si="844"/>
        <v>-736350.82412762055</v>
      </c>
      <c r="BL177" s="39">
        <f t="shared" si="844"/>
        <v>-964686.19283378124</v>
      </c>
      <c r="BM177" s="39">
        <f t="shared" si="844"/>
        <v>-812953.34354801942</v>
      </c>
      <c r="BN177" s="39">
        <f t="shared" si="844"/>
        <v>-838306.95665195049</v>
      </c>
    </row>
    <row r="179" spans="2:66" x14ac:dyDescent="0.3">
      <c r="B179" s="22" t="s">
        <v>0</v>
      </c>
      <c r="C179" s="4" t="s">
        <v>114</v>
      </c>
    </row>
    <row r="180" spans="2:66" ht="3" customHeight="1" x14ac:dyDescent="0.3">
      <c r="B180" s="22"/>
      <c r="C180" s="4"/>
    </row>
    <row r="181" spans="2:66" x14ac:dyDescent="0.3">
      <c r="C181" s="31" t="s">
        <v>114</v>
      </c>
      <c r="D181" s="31"/>
      <c r="E181" s="31"/>
      <c r="F181" s="31"/>
      <c r="G181" s="39">
        <f>SUM(G180)</f>
        <v>0</v>
      </c>
      <c r="H181" s="39">
        <f t="shared" ref="H181:M181" si="845">SUM(H180)</f>
        <v>0</v>
      </c>
      <c r="I181" s="39">
        <f t="shared" si="845"/>
        <v>0</v>
      </c>
      <c r="J181" s="39">
        <f t="shared" si="845"/>
        <v>0</v>
      </c>
      <c r="K181" s="39">
        <f t="shared" si="845"/>
        <v>0</v>
      </c>
      <c r="L181" s="39">
        <f t="shared" si="845"/>
        <v>0</v>
      </c>
      <c r="M181" s="39">
        <f t="shared" si="845"/>
        <v>0</v>
      </c>
      <c r="N181" s="39">
        <f t="shared" ref="N181" si="846">SUM(N180)</f>
        <v>0</v>
      </c>
      <c r="O181" s="39">
        <f t="shared" ref="O181" si="847">SUM(O180)</f>
        <v>0</v>
      </c>
      <c r="P181" s="39">
        <f t="shared" ref="P181" si="848">SUM(P180)</f>
        <v>0</v>
      </c>
      <c r="Q181" s="39">
        <f t="shared" ref="Q181" si="849">SUM(Q180)</f>
        <v>0</v>
      </c>
      <c r="R181" s="39">
        <f t="shared" ref="R181" si="850">SUM(R180)</f>
        <v>0</v>
      </c>
      <c r="S181" s="39">
        <f t="shared" ref="S181" si="851">SUM(S180)</f>
        <v>0</v>
      </c>
      <c r="T181" s="39">
        <f t="shared" ref="T181" si="852">SUM(T180)</f>
        <v>0</v>
      </c>
      <c r="U181" s="39">
        <f t="shared" ref="U181" si="853">SUM(U180)</f>
        <v>0</v>
      </c>
      <c r="V181" s="39">
        <f t="shared" ref="V181" si="854">SUM(V180)</f>
        <v>0</v>
      </c>
      <c r="W181" s="39">
        <f t="shared" ref="W181" si="855">SUM(W180)</f>
        <v>0</v>
      </c>
      <c r="X181" s="39">
        <f t="shared" ref="X181" si="856">SUM(X180)</f>
        <v>0</v>
      </c>
      <c r="Y181" s="39">
        <f t="shared" ref="Y181" si="857">SUM(Y180)</f>
        <v>0</v>
      </c>
      <c r="Z181" s="39">
        <f t="shared" ref="Z181" si="858">SUM(Z180)</f>
        <v>0</v>
      </c>
      <c r="AA181" s="39">
        <f t="shared" ref="AA181" si="859">SUM(AA180)</f>
        <v>0</v>
      </c>
      <c r="AB181" s="39">
        <f t="shared" ref="AB181" si="860">SUM(AB180)</f>
        <v>0</v>
      </c>
      <c r="AC181" s="39">
        <f t="shared" ref="AC181" si="861">SUM(AC180)</f>
        <v>0</v>
      </c>
      <c r="AD181" s="39">
        <f t="shared" ref="AD181" si="862">SUM(AD180)</f>
        <v>0</v>
      </c>
      <c r="AE181" s="39">
        <f t="shared" ref="AE181:BN181" si="863">SUM(AE180)</f>
        <v>0</v>
      </c>
      <c r="AF181" s="39">
        <f t="shared" si="863"/>
        <v>0</v>
      </c>
      <c r="AG181" s="39">
        <f t="shared" si="863"/>
        <v>0</v>
      </c>
      <c r="AH181" s="39">
        <f t="shared" si="863"/>
        <v>0</v>
      </c>
      <c r="AI181" s="39">
        <f t="shared" si="863"/>
        <v>0</v>
      </c>
      <c r="AJ181" s="39">
        <f t="shared" si="863"/>
        <v>0</v>
      </c>
      <c r="AK181" s="39">
        <f t="shared" si="863"/>
        <v>0</v>
      </c>
      <c r="AL181" s="39">
        <f t="shared" si="863"/>
        <v>0</v>
      </c>
      <c r="AM181" s="39">
        <f t="shared" si="863"/>
        <v>0</v>
      </c>
      <c r="AN181" s="39">
        <f t="shared" si="863"/>
        <v>0</v>
      </c>
      <c r="AO181" s="39">
        <f t="shared" si="863"/>
        <v>0</v>
      </c>
      <c r="AP181" s="39">
        <f t="shared" si="863"/>
        <v>0</v>
      </c>
      <c r="AQ181" s="39">
        <f t="shared" si="863"/>
        <v>0</v>
      </c>
      <c r="AR181" s="39">
        <f t="shared" si="863"/>
        <v>0</v>
      </c>
      <c r="AS181" s="39">
        <f t="shared" si="863"/>
        <v>0</v>
      </c>
      <c r="AT181" s="39">
        <f t="shared" si="863"/>
        <v>0</v>
      </c>
      <c r="AU181" s="39">
        <f t="shared" si="863"/>
        <v>0</v>
      </c>
      <c r="AV181" s="39">
        <f t="shared" si="863"/>
        <v>0</v>
      </c>
      <c r="AW181" s="39">
        <f t="shared" si="863"/>
        <v>0</v>
      </c>
      <c r="AX181" s="39">
        <f t="shared" si="863"/>
        <v>0</v>
      </c>
      <c r="AY181" s="39">
        <f t="shared" si="863"/>
        <v>0</v>
      </c>
      <c r="AZ181" s="39">
        <f t="shared" si="863"/>
        <v>0</v>
      </c>
      <c r="BA181" s="39">
        <f t="shared" si="863"/>
        <v>0</v>
      </c>
      <c r="BB181" s="39">
        <f t="shared" si="863"/>
        <v>0</v>
      </c>
      <c r="BC181" s="39">
        <f t="shared" si="863"/>
        <v>0</v>
      </c>
      <c r="BD181" s="39">
        <f t="shared" si="863"/>
        <v>0</v>
      </c>
      <c r="BE181" s="39">
        <f t="shared" si="863"/>
        <v>0</v>
      </c>
      <c r="BF181" s="39">
        <f t="shared" si="863"/>
        <v>0</v>
      </c>
      <c r="BG181" s="39">
        <f t="shared" si="863"/>
        <v>0</v>
      </c>
      <c r="BH181" s="39">
        <f t="shared" si="863"/>
        <v>0</v>
      </c>
      <c r="BI181" s="39">
        <f t="shared" si="863"/>
        <v>0</v>
      </c>
      <c r="BJ181" s="39">
        <f t="shared" si="863"/>
        <v>0</v>
      </c>
      <c r="BK181" s="39">
        <f t="shared" si="863"/>
        <v>0</v>
      </c>
      <c r="BL181" s="39">
        <f t="shared" si="863"/>
        <v>0</v>
      </c>
      <c r="BM181" s="39">
        <f t="shared" si="863"/>
        <v>0</v>
      </c>
      <c r="BN181" s="39">
        <f t="shared" si="863"/>
        <v>0</v>
      </c>
    </row>
    <row r="183" spans="2:66" x14ac:dyDescent="0.3">
      <c r="B183" s="22" t="s">
        <v>0</v>
      </c>
      <c r="C183" s="4" t="s">
        <v>115</v>
      </c>
    </row>
    <row r="184" spans="2:66" ht="3" customHeight="1" x14ac:dyDescent="0.3">
      <c r="B184" s="22"/>
      <c r="C184" s="4"/>
    </row>
    <row r="185" spans="2:66" ht="14.4" customHeight="1" x14ac:dyDescent="0.3">
      <c r="B185" s="22" t="s">
        <v>0</v>
      </c>
      <c r="C185" s="23" t="s">
        <v>140</v>
      </c>
    </row>
    <row r="186" spans="2:66" ht="3" customHeight="1" x14ac:dyDescent="0.3">
      <c r="B186" s="22"/>
      <c r="C186" s="4"/>
    </row>
    <row r="187" spans="2:66" ht="14.4" customHeight="1" x14ac:dyDescent="0.3">
      <c r="B187" s="22"/>
      <c r="C187" t="s">
        <v>117</v>
      </c>
      <c r="G187" s="37">
        <f>G201</f>
        <v>1000000</v>
      </c>
      <c r="H187" s="37">
        <f>G190</f>
        <v>937624.16666666663</v>
      </c>
      <c r="I187" s="37">
        <f t="shared" ref="I187:Q187" si="864">H190</f>
        <v>876277.75</v>
      </c>
      <c r="J187" s="37">
        <f t="shared" si="864"/>
        <v>815913.15</v>
      </c>
      <c r="K187" s="37">
        <f t="shared" si="864"/>
        <v>738346.56666666665</v>
      </c>
      <c r="L187" s="37">
        <f t="shared" si="864"/>
        <v>662543.16666666663</v>
      </c>
      <c r="M187" s="37">
        <f t="shared" si="864"/>
        <v>587677.94999999995</v>
      </c>
      <c r="N187" s="37">
        <f t="shared" si="864"/>
        <v>489068.65666666662</v>
      </c>
      <c r="O187" s="37">
        <f t="shared" si="864"/>
        <v>393067.43333333329</v>
      </c>
      <c r="P187" s="37">
        <f t="shared" si="864"/>
        <v>298086.23</v>
      </c>
      <c r="Q187" s="37">
        <f t="shared" si="864"/>
        <v>166994.43123333331</v>
      </c>
      <c r="R187" s="37">
        <f t="shared" ref="R187:AD187" si="865">Q190</f>
        <v>39589.419433333329</v>
      </c>
      <c r="S187" s="37">
        <f t="shared" si="865"/>
        <v>-92451.29833333331</v>
      </c>
      <c r="T187" s="37">
        <f t="shared" si="865"/>
        <v>-235784.2243963333</v>
      </c>
      <c r="U187" s="37">
        <f t="shared" si="865"/>
        <v>-373084.7283506667</v>
      </c>
      <c r="V187" s="37">
        <f t="shared" si="865"/>
        <v>-507577.19540466671</v>
      </c>
      <c r="W187" s="37">
        <f t="shared" si="865"/>
        <v>-685449.22303594672</v>
      </c>
      <c r="X187" s="37">
        <f t="shared" si="865"/>
        <v>-855160.25808626669</v>
      </c>
      <c r="Y187" s="37">
        <f t="shared" si="865"/>
        <v>-1021413.6973368768</v>
      </c>
      <c r="Z187" s="37">
        <f t="shared" si="865"/>
        <v>-1214088.7679738814</v>
      </c>
      <c r="AA187" s="37">
        <f t="shared" si="865"/>
        <v>-1413825.8419434931</v>
      </c>
      <c r="AB187" s="37">
        <f t="shared" si="865"/>
        <v>-1608815.0929253437</v>
      </c>
      <c r="AC187" s="37">
        <f t="shared" si="865"/>
        <v>-1830945.6791301495</v>
      </c>
      <c r="AD187" s="37">
        <f t="shared" si="865"/>
        <v>-2056963.3786554167</v>
      </c>
      <c r="AE187" s="37">
        <f t="shared" ref="AE187" si="866">AD190</f>
        <v>-2297155.0987810907</v>
      </c>
      <c r="AF187" s="37">
        <f t="shared" ref="AF187" si="867">AE190</f>
        <v>-2557378.5042028497</v>
      </c>
      <c r="AG187" s="37">
        <f t="shared" ref="AG187" si="868">AF190</f>
        <v>-2822640.4915674985</v>
      </c>
      <c r="AH187" s="37">
        <f t="shared" ref="AH187" si="869">AG190</f>
        <v>-3085217.2462684186</v>
      </c>
      <c r="AI187" s="37">
        <f t="shared" ref="AI187" si="870">AH190</f>
        <v>-3393705.2975174789</v>
      </c>
      <c r="AJ187" s="37">
        <f t="shared" ref="AJ187" si="871">AI190</f>
        <v>-3677275.2175494982</v>
      </c>
      <c r="AK187" s="37">
        <f t="shared" ref="AK187" si="872">AJ190</f>
        <v>-3973363.8897462743</v>
      </c>
      <c r="AL187" s="37">
        <f t="shared" ref="AL187" si="873">AK190</f>
        <v>-4314219.9841495231</v>
      </c>
      <c r="AM187" s="37">
        <f t="shared" ref="AM187" si="874">AL190</f>
        <v>-4630261.1501014717</v>
      </c>
      <c r="AN187" s="37">
        <f t="shared" ref="AN187" si="875">AM190</f>
        <v>-4961123.4530223263</v>
      </c>
      <c r="AO187" s="37">
        <f t="shared" ref="AO187" si="876">AN190</f>
        <v>-5336708.2996351877</v>
      </c>
      <c r="AP187" s="37">
        <f t="shared" ref="AP187" si="877">AO190</f>
        <v>-5695108.9382788613</v>
      </c>
      <c r="AQ187" s="37">
        <f t="shared" ref="AQ187" si="878">AP190</f>
        <v>-6063910.0447083628</v>
      </c>
      <c r="AR187" s="37">
        <f t="shared" ref="AR187" si="879">AQ190</f>
        <v>-6474651.0303388676</v>
      </c>
      <c r="AS187" s="37">
        <f t="shared" ref="AS187" si="880">AR190</f>
        <v>-6861616.6293585859</v>
      </c>
      <c r="AT187" s="37">
        <f t="shared" ref="AT187" si="881">AS190</f>
        <v>-7251844.1970962379</v>
      </c>
      <c r="AU187" s="37">
        <f t="shared" ref="AU187" si="882">AT190</f>
        <v>-7712562.2645854056</v>
      </c>
      <c r="AV187" s="37">
        <f t="shared" ref="AV187" si="883">AU190</f>
        <v>-8136389.6034380309</v>
      </c>
      <c r="AW187" s="37">
        <f t="shared" ref="AW187" si="884">AV190</f>
        <v>-8574025.4260343798</v>
      </c>
      <c r="AX187" s="37">
        <f t="shared" ref="AX187" si="885">AW190</f>
        <v>-9087927.6746527869</v>
      </c>
      <c r="AY187" s="37">
        <f t="shared" ref="AY187" si="886">AX190</f>
        <v>-9561252.1686019823</v>
      </c>
      <c r="AZ187" s="37">
        <f t="shared" ref="AZ187" si="887">AY190</f>
        <v>-10043400.764057091</v>
      </c>
      <c r="BA187" s="37">
        <f t="shared" ref="BA187" si="888">AZ190</f>
        <v>-10625425.91532349</v>
      </c>
      <c r="BB187" s="37">
        <f t="shared" ref="BB187" si="889">BA190</f>
        <v>-11144522.878008734</v>
      </c>
      <c r="BC187" s="37">
        <f t="shared" ref="BC187" si="890">BB190</f>
        <v>-11680850.826825509</v>
      </c>
      <c r="BD187" s="37">
        <f t="shared" ref="BD187" si="891">BC190</f>
        <v>-12315302.697126335</v>
      </c>
      <c r="BE187" s="37">
        <f t="shared" ref="BE187" si="892">BD190</f>
        <v>-12889877.939939419</v>
      </c>
      <c r="BF187" s="37">
        <f t="shared" ref="BF187" si="893">BE190</f>
        <v>-13484644.99573021</v>
      </c>
      <c r="BG187" s="37">
        <f t="shared" ref="BG187" si="894">BF190</f>
        <v>-14216137.705506632</v>
      </c>
      <c r="BH187" s="37">
        <f t="shared" ref="BH187" si="895">BG190</f>
        <v>-14842702.277772721</v>
      </c>
      <c r="BI187" s="37">
        <f t="shared" ref="BI187" si="896">BH190</f>
        <v>-15499099.742120715</v>
      </c>
      <c r="BJ187" s="37">
        <f t="shared" ref="BJ187" si="897">BI190</f>
        <v>-16334488.975150868</v>
      </c>
      <c r="BK187" s="37">
        <f t="shared" ref="BK187" si="898">BJ190</f>
        <v>-17046766.207832493</v>
      </c>
      <c r="BL187" s="37">
        <f t="shared" ref="BL187" si="899">BK190</f>
        <v>-17783117.031960115</v>
      </c>
      <c r="BM187" s="37">
        <f t="shared" ref="BM187" si="900">BL190</f>
        <v>-18747803.224793896</v>
      </c>
      <c r="BN187" s="37">
        <f t="shared" ref="BN187" si="901">BM190</f>
        <v>-19560756.568341915</v>
      </c>
    </row>
    <row r="188" spans="2:66" ht="14.4" customHeight="1" x14ac:dyDescent="0.3">
      <c r="B188" s="22"/>
      <c r="C188" t="str">
        <f>C177</f>
        <v>Cash from Operations</v>
      </c>
      <c r="G188" s="27">
        <f>G177</f>
        <v>-62375.833333333328</v>
      </c>
      <c r="H188" s="27">
        <f>H177</f>
        <v>-61346.416666666672</v>
      </c>
      <c r="I188" s="27">
        <f t="shared" ref="I188:Q188" si="902">I177</f>
        <v>-60364.599999999991</v>
      </c>
      <c r="J188" s="27">
        <f t="shared" si="902"/>
        <v>-77566.583333333328</v>
      </c>
      <c r="K188" s="27">
        <f t="shared" si="902"/>
        <v>-75803.399999999994</v>
      </c>
      <c r="L188" s="27">
        <f t="shared" si="902"/>
        <v>-74865.216666666674</v>
      </c>
      <c r="M188" s="27">
        <f t="shared" si="902"/>
        <v>-98609.293333333349</v>
      </c>
      <c r="N188" s="27">
        <f t="shared" si="902"/>
        <v>-96001.223333333328</v>
      </c>
      <c r="O188" s="27">
        <f t="shared" si="902"/>
        <v>-94981.203333333309</v>
      </c>
      <c r="P188" s="27">
        <f t="shared" si="902"/>
        <v>-131091.79876666667</v>
      </c>
      <c r="Q188" s="27">
        <f t="shared" si="902"/>
        <v>-127405.01179999998</v>
      </c>
      <c r="R188" s="27">
        <f t="shared" ref="R188:AD188" si="903">R177</f>
        <v>-132040.71776666664</v>
      </c>
      <c r="S188" s="27">
        <f t="shared" si="903"/>
        <v>-143332.92606299999</v>
      </c>
      <c r="T188" s="27">
        <f t="shared" si="903"/>
        <v>-137300.50395433337</v>
      </c>
      <c r="U188" s="27">
        <f t="shared" si="903"/>
        <v>-134492.46705400001</v>
      </c>
      <c r="V188" s="27">
        <f t="shared" si="903"/>
        <v>-177872.02763128004</v>
      </c>
      <c r="W188" s="27">
        <f t="shared" si="903"/>
        <v>-169711.03505032</v>
      </c>
      <c r="X188" s="27">
        <f t="shared" si="903"/>
        <v>-166253.43925061001</v>
      </c>
      <c r="Y188" s="27">
        <f t="shared" si="903"/>
        <v>-192675.07063700462</v>
      </c>
      <c r="Z188" s="27">
        <f t="shared" si="903"/>
        <v>-199737.07396961169</v>
      </c>
      <c r="AA188" s="27">
        <f t="shared" si="903"/>
        <v>-194989.25098185043</v>
      </c>
      <c r="AB188" s="27">
        <f t="shared" si="903"/>
        <v>-222130.58620480599</v>
      </c>
      <c r="AC188" s="27">
        <f t="shared" si="903"/>
        <v>-226017.69952526712</v>
      </c>
      <c r="AD188" s="27">
        <f t="shared" si="903"/>
        <v>-240191.72012567392</v>
      </c>
      <c r="AE188" s="27">
        <f t="shared" ref="AE188:BN188" si="904">AE177</f>
        <v>-260223.40542175889</v>
      </c>
      <c r="AF188" s="27">
        <f t="shared" si="904"/>
        <v>-265261.98736464896</v>
      </c>
      <c r="AG188" s="27">
        <f t="shared" si="904"/>
        <v>-262576.75470092008</v>
      </c>
      <c r="AH188" s="27">
        <f t="shared" si="904"/>
        <v>-308488.0512490602</v>
      </c>
      <c r="AI188" s="27">
        <f t="shared" si="904"/>
        <v>-283569.92003201914</v>
      </c>
      <c r="AJ188" s="27">
        <f t="shared" si="904"/>
        <v>-296088.6721967762</v>
      </c>
      <c r="AK188" s="27">
        <f t="shared" si="904"/>
        <v>-340856.0944032491</v>
      </c>
      <c r="AL188" s="27">
        <f t="shared" si="904"/>
        <v>-316041.16595194902</v>
      </c>
      <c r="AM188" s="27">
        <f t="shared" si="904"/>
        <v>-330862.30292085477</v>
      </c>
      <c r="AN188" s="27">
        <f t="shared" si="904"/>
        <v>-375584.84661286115</v>
      </c>
      <c r="AO188" s="27">
        <f t="shared" si="904"/>
        <v>-358400.63864367333</v>
      </c>
      <c r="AP188" s="27">
        <f t="shared" si="904"/>
        <v>-368801.10642950132</v>
      </c>
      <c r="AQ188" s="27">
        <f t="shared" si="904"/>
        <v>-410740.98563050438</v>
      </c>
      <c r="AR188" s="27">
        <f t="shared" si="904"/>
        <v>-386965.59901971836</v>
      </c>
      <c r="AS188" s="27">
        <f t="shared" si="904"/>
        <v>-390227.5677376517</v>
      </c>
      <c r="AT188" s="27">
        <f t="shared" si="904"/>
        <v>-460718.06748916721</v>
      </c>
      <c r="AU188" s="27">
        <f t="shared" si="904"/>
        <v>-423827.33885262499</v>
      </c>
      <c r="AV188" s="27">
        <f t="shared" si="904"/>
        <v>-437635.82259634964</v>
      </c>
      <c r="AW188" s="27">
        <f t="shared" si="904"/>
        <v>-513902.24861840752</v>
      </c>
      <c r="AX188" s="27">
        <f t="shared" si="904"/>
        <v>-473324.49394919502</v>
      </c>
      <c r="AY188" s="27">
        <f t="shared" si="904"/>
        <v>-482148.59545510879</v>
      </c>
      <c r="AZ188" s="27">
        <f t="shared" si="904"/>
        <v>-582025.15126639954</v>
      </c>
      <c r="BA188" s="27">
        <f t="shared" si="904"/>
        <v>-519096.96268524497</v>
      </c>
      <c r="BB188" s="27">
        <f t="shared" si="904"/>
        <v>-536327.94881677476</v>
      </c>
      <c r="BC188" s="27">
        <f t="shared" si="904"/>
        <v>-634451.87030082615</v>
      </c>
      <c r="BD188" s="27">
        <f t="shared" si="904"/>
        <v>-574575.24281308358</v>
      </c>
      <c r="BE188" s="27">
        <f t="shared" si="904"/>
        <v>-594767.05579079222</v>
      </c>
      <c r="BF188" s="27">
        <f t="shared" si="904"/>
        <v>-731492.70977642154</v>
      </c>
      <c r="BG188" s="27">
        <f t="shared" si="904"/>
        <v>-626564.57226608892</v>
      </c>
      <c r="BH188" s="27">
        <f t="shared" si="904"/>
        <v>-656397.46434799442</v>
      </c>
      <c r="BI188" s="27">
        <f t="shared" si="904"/>
        <v>-835389.23303015321</v>
      </c>
      <c r="BJ188" s="27">
        <f t="shared" si="904"/>
        <v>-712277.23268162599</v>
      </c>
      <c r="BK188" s="27">
        <f t="shared" si="904"/>
        <v>-736350.82412762055</v>
      </c>
      <c r="BL188" s="27">
        <f t="shared" si="904"/>
        <v>-964686.19283378124</v>
      </c>
      <c r="BM188" s="27">
        <f t="shared" si="904"/>
        <v>-812953.34354801942</v>
      </c>
      <c r="BN188" s="27">
        <f t="shared" si="904"/>
        <v>-838306.95665195049</v>
      </c>
    </row>
    <row r="189" spans="2:66" ht="14.4" customHeight="1" x14ac:dyDescent="0.3">
      <c r="B189" s="22"/>
      <c r="C189" t="str">
        <f>C181</f>
        <v>Cash from Investing</v>
      </c>
      <c r="G189" s="27">
        <f>G181</f>
        <v>0</v>
      </c>
      <c r="H189" s="27">
        <f>H181</f>
        <v>0</v>
      </c>
      <c r="I189" s="27">
        <f t="shared" ref="I189:Q189" si="905">I181</f>
        <v>0</v>
      </c>
      <c r="J189" s="27">
        <f t="shared" si="905"/>
        <v>0</v>
      </c>
      <c r="K189" s="27">
        <f t="shared" si="905"/>
        <v>0</v>
      </c>
      <c r="L189" s="27">
        <f t="shared" si="905"/>
        <v>0</v>
      </c>
      <c r="M189" s="27">
        <f t="shared" si="905"/>
        <v>0</v>
      </c>
      <c r="N189" s="27">
        <f t="shared" si="905"/>
        <v>0</v>
      </c>
      <c r="O189" s="27">
        <f t="shared" si="905"/>
        <v>0</v>
      </c>
      <c r="P189" s="27">
        <f t="shared" si="905"/>
        <v>0</v>
      </c>
      <c r="Q189" s="27">
        <f t="shared" si="905"/>
        <v>0</v>
      </c>
      <c r="R189" s="27">
        <f t="shared" ref="R189:AD189" si="906">R181</f>
        <v>0</v>
      </c>
      <c r="S189" s="27">
        <f t="shared" si="906"/>
        <v>0</v>
      </c>
      <c r="T189" s="27">
        <f t="shared" si="906"/>
        <v>0</v>
      </c>
      <c r="U189" s="27">
        <f t="shared" si="906"/>
        <v>0</v>
      </c>
      <c r="V189" s="27">
        <f t="shared" si="906"/>
        <v>0</v>
      </c>
      <c r="W189" s="27">
        <f t="shared" si="906"/>
        <v>0</v>
      </c>
      <c r="X189" s="27">
        <f t="shared" si="906"/>
        <v>0</v>
      </c>
      <c r="Y189" s="27">
        <f t="shared" si="906"/>
        <v>0</v>
      </c>
      <c r="Z189" s="27">
        <f t="shared" si="906"/>
        <v>0</v>
      </c>
      <c r="AA189" s="27">
        <f t="shared" si="906"/>
        <v>0</v>
      </c>
      <c r="AB189" s="27">
        <f t="shared" si="906"/>
        <v>0</v>
      </c>
      <c r="AC189" s="27">
        <f t="shared" si="906"/>
        <v>0</v>
      </c>
      <c r="AD189" s="27">
        <f t="shared" si="906"/>
        <v>0</v>
      </c>
      <c r="AE189" s="27">
        <f t="shared" ref="AE189:BN189" si="907">AE181</f>
        <v>0</v>
      </c>
      <c r="AF189" s="27">
        <f t="shared" si="907"/>
        <v>0</v>
      </c>
      <c r="AG189" s="27">
        <f t="shared" si="907"/>
        <v>0</v>
      </c>
      <c r="AH189" s="27">
        <f t="shared" si="907"/>
        <v>0</v>
      </c>
      <c r="AI189" s="27">
        <f t="shared" si="907"/>
        <v>0</v>
      </c>
      <c r="AJ189" s="27">
        <f t="shared" si="907"/>
        <v>0</v>
      </c>
      <c r="AK189" s="27">
        <f t="shared" si="907"/>
        <v>0</v>
      </c>
      <c r="AL189" s="27">
        <f t="shared" si="907"/>
        <v>0</v>
      </c>
      <c r="AM189" s="27">
        <f t="shared" si="907"/>
        <v>0</v>
      </c>
      <c r="AN189" s="27">
        <f t="shared" si="907"/>
        <v>0</v>
      </c>
      <c r="AO189" s="27">
        <f t="shared" si="907"/>
        <v>0</v>
      </c>
      <c r="AP189" s="27">
        <f t="shared" si="907"/>
        <v>0</v>
      </c>
      <c r="AQ189" s="27">
        <f t="shared" si="907"/>
        <v>0</v>
      </c>
      <c r="AR189" s="27">
        <f t="shared" si="907"/>
        <v>0</v>
      </c>
      <c r="AS189" s="27">
        <f t="shared" si="907"/>
        <v>0</v>
      </c>
      <c r="AT189" s="27">
        <f t="shared" si="907"/>
        <v>0</v>
      </c>
      <c r="AU189" s="27">
        <f t="shared" si="907"/>
        <v>0</v>
      </c>
      <c r="AV189" s="27">
        <f t="shared" si="907"/>
        <v>0</v>
      </c>
      <c r="AW189" s="27">
        <f t="shared" si="907"/>
        <v>0</v>
      </c>
      <c r="AX189" s="27">
        <f t="shared" si="907"/>
        <v>0</v>
      </c>
      <c r="AY189" s="27">
        <f t="shared" si="907"/>
        <v>0</v>
      </c>
      <c r="AZ189" s="27">
        <f t="shared" si="907"/>
        <v>0</v>
      </c>
      <c r="BA189" s="27">
        <f t="shared" si="907"/>
        <v>0</v>
      </c>
      <c r="BB189" s="27">
        <f t="shared" si="907"/>
        <v>0</v>
      </c>
      <c r="BC189" s="27">
        <f t="shared" si="907"/>
        <v>0</v>
      </c>
      <c r="BD189" s="27">
        <f t="shared" si="907"/>
        <v>0</v>
      </c>
      <c r="BE189" s="27">
        <f t="shared" si="907"/>
        <v>0</v>
      </c>
      <c r="BF189" s="27">
        <f t="shared" si="907"/>
        <v>0</v>
      </c>
      <c r="BG189" s="27">
        <f t="shared" si="907"/>
        <v>0</v>
      </c>
      <c r="BH189" s="27">
        <f t="shared" si="907"/>
        <v>0</v>
      </c>
      <c r="BI189" s="27">
        <f t="shared" si="907"/>
        <v>0</v>
      </c>
      <c r="BJ189" s="27">
        <f t="shared" si="907"/>
        <v>0</v>
      </c>
      <c r="BK189" s="27">
        <f t="shared" si="907"/>
        <v>0</v>
      </c>
      <c r="BL189" s="27">
        <f t="shared" si="907"/>
        <v>0</v>
      </c>
      <c r="BM189" s="27">
        <f t="shared" si="907"/>
        <v>0</v>
      </c>
      <c r="BN189" s="27">
        <f t="shared" si="907"/>
        <v>0</v>
      </c>
    </row>
    <row r="190" spans="2:66" ht="14.4" customHeight="1" x14ac:dyDescent="0.3">
      <c r="B190" s="22"/>
      <c r="C190" s="11" t="s">
        <v>118</v>
      </c>
      <c r="D190" s="11"/>
      <c r="E190" s="11"/>
      <c r="F190" s="11"/>
      <c r="G190" s="46">
        <f>SUM(G187:G189)</f>
        <v>937624.16666666663</v>
      </c>
      <c r="H190" s="46">
        <f>SUM(H187:H189)</f>
        <v>876277.75</v>
      </c>
      <c r="I190" s="46">
        <f t="shared" ref="I190:Q190" si="908">SUM(I187:I189)</f>
        <v>815913.15</v>
      </c>
      <c r="J190" s="46">
        <f t="shared" si="908"/>
        <v>738346.56666666665</v>
      </c>
      <c r="K190" s="46">
        <f t="shared" si="908"/>
        <v>662543.16666666663</v>
      </c>
      <c r="L190" s="46">
        <f t="shared" si="908"/>
        <v>587677.94999999995</v>
      </c>
      <c r="M190" s="46">
        <f t="shared" si="908"/>
        <v>489068.65666666662</v>
      </c>
      <c r="N190" s="46">
        <f t="shared" si="908"/>
        <v>393067.43333333329</v>
      </c>
      <c r="O190" s="46">
        <f t="shared" si="908"/>
        <v>298086.23</v>
      </c>
      <c r="P190" s="46">
        <f t="shared" si="908"/>
        <v>166994.43123333331</v>
      </c>
      <c r="Q190" s="46">
        <f t="shared" si="908"/>
        <v>39589.419433333329</v>
      </c>
      <c r="R190" s="46">
        <f t="shared" ref="R190" si="909">SUM(R187:R189)</f>
        <v>-92451.29833333331</v>
      </c>
      <c r="S190" s="46">
        <f t="shared" ref="S190" si="910">SUM(S187:S189)</f>
        <v>-235784.2243963333</v>
      </c>
      <c r="T190" s="46">
        <f t="shared" ref="T190" si="911">SUM(T187:T189)</f>
        <v>-373084.7283506667</v>
      </c>
      <c r="U190" s="46">
        <f t="shared" ref="U190" si="912">SUM(U187:U189)</f>
        <v>-507577.19540466671</v>
      </c>
      <c r="V190" s="46">
        <f t="shared" ref="V190" si="913">SUM(V187:V189)</f>
        <v>-685449.22303594672</v>
      </c>
      <c r="W190" s="46">
        <f t="shared" ref="W190" si="914">SUM(W187:W189)</f>
        <v>-855160.25808626669</v>
      </c>
      <c r="X190" s="46">
        <f t="shared" ref="X190" si="915">SUM(X187:X189)</f>
        <v>-1021413.6973368768</v>
      </c>
      <c r="Y190" s="46">
        <f t="shared" ref="Y190" si="916">SUM(Y187:Y189)</f>
        <v>-1214088.7679738814</v>
      </c>
      <c r="Z190" s="46">
        <f t="shared" ref="Z190" si="917">SUM(Z187:Z189)</f>
        <v>-1413825.8419434931</v>
      </c>
      <c r="AA190" s="46">
        <f t="shared" ref="AA190" si="918">SUM(AA187:AA189)</f>
        <v>-1608815.0929253437</v>
      </c>
      <c r="AB190" s="46">
        <f t="shared" ref="AB190" si="919">SUM(AB187:AB189)</f>
        <v>-1830945.6791301495</v>
      </c>
      <c r="AC190" s="46">
        <f t="shared" ref="AC190" si="920">SUM(AC187:AC189)</f>
        <v>-2056963.3786554167</v>
      </c>
      <c r="AD190" s="46">
        <f t="shared" ref="AD190" si="921">SUM(AD187:AD189)</f>
        <v>-2297155.0987810907</v>
      </c>
      <c r="AE190" s="46">
        <f t="shared" ref="AE190:BN190" si="922">SUM(AE187:AE189)</f>
        <v>-2557378.5042028497</v>
      </c>
      <c r="AF190" s="46">
        <f t="shared" si="922"/>
        <v>-2822640.4915674985</v>
      </c>
      <c r="AG190" s="46">
        <f t="shared" si="922"/>
        <v>-3085217.2462684186</v>
      </c>
      <c r="AH190" s="46">
        <f t="shared" si="922"/>
        <v>-3393705.2975174789</v>
      </c>
      <c r="AI190" s="46">
        <f t="shared" si="922"/>
        <v>-3677275.2175494982</v>
      </c>
      <c r="AJ190" s="46">
        <f t="shared" si="922"/>
        <v>-3973363.8897462743</v>
      </c>
      <c r="AK190" s="46">
        <f t="shared" si="922"/>
        <v>-4314219.9841495231</v>
      </c>
      <c r="AL190" s="46">
        <f t="shared" si="922"/>
        <v>-4630261.1501014717</v>
      </c>
      <c r="AM190" s="46">
        <f t="shared" si="922"/>
        <v>-4961123.4530223263</v>
      </c>
      <c r="AN190" s="46">
        <f t="shared" si="922"/>
        <v>-5336708.2996351877</v>
      </c>
      <c r="AO190" s="46">
        <f t="shared" si="922"/>
        <v>-5695108.9382788613</v>
      </c>
      <c r="AP190" s="46">
        <f t="shared" si="922"/>
        <v>-6063910.0447083628</v>
      </c>
      <c r="AQ190" s="46">
        <f t="shared" si="922"/>
        <v>-6474651.0303388676</v>
      </c>
      <c r="AR190" s="46">
        <f t="shared" si="922"/>
        <v>-6861616.6293585859</v>
      </c>
      <c r="AS190" s="46">
        <f t="shared" si="922"/>
        <v>-7251844.1970962379</v>
      </c>
      <c r="AT190" s="46">
        <f t="shared" si="922"/>
        <v>-7712562.2645854056</v>
      </c>
      <c r="AU190" s="46">
        <f t="shared" si="922"/>
        <v>-8136389.6034380309</v>
      </c>
      <c r="AV190" s="46">
        <f t="shared" si="922"/>
        <v>-8574025.4260343798</v>
      </c>
      <c r="AW190" s="46">
        <f t="shared" si="922"/>
        <v>-9087927.6746527869</v>
      </c>
      <c r="AX190" s="46">
        <f t="shared" si="922"/>
        <v>-9561252.1686019823</v>
      </c>
      <c r="AY190" s="46">
        <f t="shared" si="922"/>
        <v>-10043400.764057091</v>
      </c>
      <c r="AZ190" s="46">
        <f t="shared" si="922"/>
        <v>-10625425.91532349</v>
      </c>
      <c r="BA190" s="46">
        <f t="shared" si="922"/>
        <v>-11144522.878008734</v>
      </c>
      <c r="BB190" s="46">
        <f t="shared" si="922"/>
        <v>-11680850.826825509</v>
      </c>
      <c r="BC190" s="46">
        <f t="shared" si="922"/>
        <v>-12315302.697126335</v>
      </c>
      <c r="BD190" s="46">
        <f t="shared" si="922"/>
        <v>-12889877.939939419</v>
      </c>
      <c r="BE190" s="46">
        <f t="shared" si="922"/>
        <v>-13484644.99573021</v>
      </c>
      <c r="BF190" s="46">
        <f t="shared" si="922"/>
        <v>-14216137.705506632</v>
      </c>
      <c r="BG190" s="46">
        <f t="shared" si="922"/>
        <v>-14842702.277772721</v>
      </c>
      <c r="BH190" s="46">
        <f t="shared" si="922"/>
        <v>-15499099.742120715</v>
      </c>
      <c r="BI190" s="46">
        <f t="shared" si="922"/>
        <v>-16334488.975150868</v>
      </c>
      <c r="BJ190" s="46">
        <f t="shared" si="922"/>
        <v>-17046766.207832493</v>
      </c>
      <c r="BK190" s="46">
        <f t="shared" si="922"/>
        <v>-17783117.031960115</v>
      </c>
      <c r="BL190" s="46">
        <f t="shared" si="922"/>
        <v>-18747803.224793896</v>
      </c>
      <c r="BM190" s="46">
        <f t="shared" si="922"/>
        <v>-19560756.568341915</v>
      </c>
      <c r="BN190" s="46">
        <f t="shared" si="922"/>
        <v>-20399063.524993867</v>
      </c>
    </row>
    <row r="191" spans="2:66" ht="14.4" customHeight="1" x14ac:dyDescent="0.3">
      <c r="B191" s="22"/>
      <c r="C191" s="4"/>
      <c r="E191" s="63" t="s">
        <v>15</v>
      </c>
    </row>
    <row r="192" spans="2:66" ht="14.4" customHeight="1" thickBot="1" x14ac:dyDescent="0.35">
      <c r="B192" s="22"/>
      <c r="C192" t="s">
        <v>139</v>
      </c>
      <c r="E192" s="65">
        <f>Assumptions!$E$69</f>
        <v>1000000</v>
      </c>
      <c r="G192" s="37">
        <f>BN190</f>
        <v>-20399063.524993867</v>
      </c>
      <c r="X192" s="34"/>
      <c r="Y192" s="28"/>
    </row>
    <row r="193" spans="2:66" ht="14.4" customHeight="1" thickBot="1" x14ac:dyDescent="0.35">
      <c r="B193" s="22"/>
      <c r="C193" s="77" t="s">
        <v>141</v>
      </c>
      <c r="D193" s="78"/>
      <c r="E193" s="78"/>
      <c r="F193" s="78"/>
      <c r="G193" s="79">
        <f>IF(G192&gt;E192,0,E192-G192)</f>
        <v>21399063.524993867</v>
      </c>
      <c r="X193" s="34"/>
      <c r="Y193" s="34"/>
    </row>
    <row r="194" spans="2:66" ht="14.4" customHeight="1" x14ac:dyDescent="0.3">
      <c r="B194" s="22"/>
      <c r="C194" s="4"/>
      <c r="X194" s="28"/>
      <c r="Y194" s="34"/>
    </row>
    <row r="195" spans="2:66" ht="14.4" customHeight="1" x14ac:dyDescent="0.3">
      <c r="B195" s="22" t="s">
        <v>0</v>
      </c>
      <c r="C195" s="23" t="s">
        <v>142</v>
      </c>
      <c r="S195" s="37"/>
      <c r="X195" s="34"/>
      <c r="Y195" s="34"/>
    </row>
    <row r="196" spans="2:66" ht="3" customHeight="1" x14ac:dyDescent="0.3">
      <c r="B196" s="22"/>
      <c r="C196" s="4"/>
    </row>
    <row r="197" spans="2:66" ht="14.55" customHeight="1" x14ac:dyDescent="0.3">
      <c r="B197" s="22"/>
      <c r="C197" t="s">
        <v>147</v>
      </c>
      <c r="G197" s="27">
        <f>INDEX($G$7:$BN$7, MATCH(0,$G$190:$BN$190,-1))</f>
        <v>11</v>
      </c>
      <c r="W197" s="9"/>
      <c r="X197" s="34"/>
    </row>
    <row r="198" spans="2:66" ht="14.55" customHeight="1" x14ac:dyDescent="0.3">
      <c r="B198" s="22"/>
      <c r="C198" t="s">
        <v>148</v>
      </c>
      <c r="G198" s="81">
        <f>INDEX($G$6:$BN$6,MATCH(0,$G$190:$BN$190,-1))</f>
        <v>45597</v>
      </c>
    </row>
    <row r="199" spans="2:66" ht="14.55" customHeight="1" x14ac:dyDescent="0.3">
      <c r="B199" s="22"/>
      <c r="C199" t="s">
        <v>149</v>
      </c>
      <c r="E199" s="67"/>
      <c r="G199" s="28">
        <f>G197-6</f>
        <v>5</v>
      </c>
    </row>
    <row r="200" spans="2:66" ht="14.4" customHeight="1" x14ac:dyDescent="0.3">
      <c r="B200" s="22"/>
      <c r="C200" s="4"/>
    </row>
    <row r="201" spans="2:66" ht="14.55" customHeight="1" x14ac:dyDescent="0.3">
      <c r="B201" s="22"/>
      <c r="C201" t="s">
        <v>137</v>
      </c>
      <c r="E201" s="65"/>
      <c r="G201" s="73">
        <f>Assumptions!$E$64</f>
        <v>1000000</v>
      </c>
      <c r="H201" s="27" cm="1">
        <f t="array" ref="H201">_xlfn.IFS($G$197&lt;=1,$G$193, H$7=$G$197,$G$193,1,0)</f>
        <v>0</v>
      </c>
      <c r="I201" s="27" cm="1">
        <f t="array" ref="I201">_xlfn.IFS($G$197&lt;=1,$G$193, I$7=$G$197,$G$193,1,0)</f>
        <v>0</v>
      </c>
      <c r="J201" s="27" cm="1">
        <f t="array" ref="J201">_xlfn.IFS($G$197&lt;=1,$G$193, J$7=$G$197,$G$193,1,0)</f>
        <v>0</v>
      </c>
      <c r="K201" s="27" cm="1">
        <f t="array" ref="K201">_xlfn.IFS($G$197&lt;=1,$G$193, K$7=$G$197,$G$193,1,0)</f>
        <v>0</v>
      </c>
      <c r="L201" s="27" cm="1">
        <f t="array" ref="L201">_xlfn.IFS($G$197&lt;=1,$G$193, L$7=$G$197,$G$193,1,0)</f>
        <v>0</v>
      </c>
      <c r="M201" s="27" cm="1">
        <f t="array" ref="M201">_xlfn.IFS($G$197&lt;=1,$G$193, M$7=$G$197,$G$193,1,0)</f>
        <v>0</v>
      </c>
      <c r="N201" s="27" cm="1">
        <f t="array" ref="N201">_xlfn.IFS($G$197&lt;=1,$G$193, N$7=$G$197,$G$193,1,0)</f>
        <v>0</v>
      </c>
      <c r="O201" s="27" cm="1">
        <f t="array" ref="O201">_xlfn.IFS($G$197&lt;=1,$G$193, O$7=$G$197,$G$193,1,0)</f>
        <v>0</v>
      </c>
      <c r="P201" s="27" cm="1">
        <f t="array" ref="P201">_xlfn.IFS($G$197&lt;=1,$G$193, P$7=$G$197,$G$193,1,0)</f>
        <v>0</v>
      </c>
      <c r="Q201" s="27" cm="1">
        <f t="array" ref="Q201">_xlfn.IFS($G$197&lt;=1,$G$193, Q$7=$G$197,$G$193,1,0)</f>
        <v>21399063.524993867</v>
      </c>
      <c r="R201" s="27" cm="1">
        <f t="array" ref="R201">_xlfn.IFS($G$197&lt;=1,$G$193, R$7=$G$197,$G$193,1,0)</f>
        <v>0</v>
      </c>
      <c r="S201" s="27" cm="1">
        <f t="array" ref="S201">_xlfn.IFS($G$197&lt;=1,$G$193, S$7=$G$197,$G$193,1,0)</f>
        <v>0</v>
      </c>
      <c r="T201" s="27" cm="1">
        <f t="array" ref="T201">_xlfn.IFS($G$197&lt;=1,$G$193, T$7=$G$197,$G$193,1,0)</f>
        <v>0</v>
      </c>
      <c r="U201" s="27" cm="1">
        <f t="array" ref="U201">_xlfn.IFS($G$197&lt;=1,$G$193, U$7=$G$197,$G$193,1,0)</f>
        <v>0</v>
      </c>
      <c r="V201" s="27" cm="1">
        <f t="array" ref="V201">_xlfn.IFS($G$197&lt;=1,$G$193, V$7=$G$197,$G$193,1,0)</f>
        <v>0</v>
      </c>
      <c r="W201" s="27" cm="1">
        <f t="array" ref="W201">_xlfn.IFS($G$197&lt;=1,$G$193, W$7=$G$197,$G$193,1,0)</f>
        <v>0</v>
      </c>
      <c r="X201" s="27" cm="1">
        <f t="array" ref="X201">_xlfn.IFS($G$197&lt;=1,$G$193, X$7=$G$197,$G$193,1,0)</f>
        <v>0</v>
      </c>
      <c r="Y201" s="27" cm="1">
        <f t="array" ref="Y201">_xlfn.IFS($G$197&lt;=1,$G$193, Y$7=$G$197,$G$193,1,0)</f>
        <v>0</v>
      </c>
      <c r="Z201" s="27" cm="1">
        <f t="array" ref="Z201">_xlfn.IFS($G$197&lt;=1,$G$193, Z$7=$G$197,$G$193,1,0)</f>
        <v>0</v>
      </c>
      <c r="AA201" s="27" cm="1">
        <f t="array" ref="AA201">_xlfn.IFS($G$197&lt;=1,$G$193, AA$7=$G$197,$G$193,1,0)</f>
        <v>0</v>
      </c>
      <c r="AB201" s="27" cm="1">
        <f t="array" ref="AB201">_xlfn.IFS($G$197&lt;=1,$G$193, AB$7=$G$197,$G$193,1,0)</f>
        <v>0</v>
      </c>
      <c r="AC201" s="27" cm="1">
        <f t="array" ref="AC201">_xlfn.IFS($G$197&lt;=1,$G$193, AC$7=$G$197,$G$193,1,0)</f>
        <v>0</v>
      </c>
      <c r="AD201" s="27" cm="1">
        <f t="array" ref="AD201">_xlfn.IFS($G$197&lt;=1,$G$193, AD$7=$G$197,$G$193,1,0)</f>
        <v>0</v>
      </c>
      <c r="AE201" s="27" cm="1">
        <f t="array" ref="AE201">_xlfn.IFS($G$197&lt;=1,$G$193, AE$7=$G$197,$G$193,1,0)</f>
        <v>0</v>
      </c>
      <c r="AF201" s="27" cm="1">
        <f t="array" ref="AF201">_xlfn.IFS($G$197&lt;=1,$G$193, AF$7=$G$197,$G$193,1,0)</f>
        <v>0</v>
      </c>
      <c r="AG201" s="27" cm="1">
        <f t="array" ref="AG201">_xlfn.IFS($G$197&lt;=1,$G$193, AG$7=$G$197,$G$193,1,0)</f>
        <v>0</v>
      </c>
      <c r="AH201" s="27" cm="1">
        <f t="array" ref="AH201">_xlfn.IFS($G$197&lt;=1,$G$193, AH$7=$G$197,$G$193,1,0)</f>
        <v>0</v>
      </c>
      <c r="AI201" s="27" cm="1">
        <f t="array" ref="AI201">_xlfn.IFS($G$197&lt;=1,$G$193, AI$7=$G$197,$G$193,1,0)</f>
        <v>0</v>
      </c>
      <c r="AJ201" s="27" cm="1">
        <f t="array" ref="AJ201">_xlfn.IFS($G$197&lt;=1,$G$193, AJ$7=$G$197,$G$193,1,0)</f>
        <v>0</v>
      </c>
      <c r="AK201" s="27" cm="1">
        <f t="array" ref="AK201">_xlfn.IFS($G$197&lt;=1,$G$193, AK$7=$G$197,$G$193,1,0)</f>
        <v>0</v>
      </c>
      <c r="AL201" s="27" cm="1">
        <f t="array" ref="AL201">_xlfn.IFS($G$197&lt;=1,$G$193, AL$7=$G$197,$G$193,1,0)</f>
        <v>0</v>
      </c>
      <c r="AM201" s="27" cm="1">
        <f t="array" ref="AM201">_xlfn.IFS($G$197&lt;=1,$G$193, AM$7=$G$197,$G$193,1,0)</f>
        <v>0</v>
      </c>
      <c r="AN201" s="27" cm="1">
        <f t="array" ref="AN201">_xlfn.IFS($G$197&lt;=1,$G$193, AN$7=$G$197,$G$193,1,0)</f>
        <v>0</v>
      </c>
      <c r="AO201" s="27" cm="1">
        <f t="array" ref="AO201">_xlfn.IFS($G$197&lt;=1,$G$193, AO$7=$G$197,$G$193,1,0)</f>
        <v>0</v>
      </c>
      <c r="AP201" s="27" cm="1">
        <f t="array" ref="AP201">_xlfn.IFS($G$197&lt;=1,$G$193, AP$7=$G$197,$G$193,1,0)</f>
        <v>0</v>
      </c>
      <c r="AQ201" s="27" cm="1">
        <f t="array" ref="AQ201">_xlfn.IFS($G$197&lt;=1,$G$193, AQ$7=$G$197,$G$193,1,0)</f>
        <v>0</v>
      </c>
      <c r="AR201" s="27" cm="1">
        <f t="array" ref="AR201">_xlfn.IFS($G$197&lt;=1,$G$193, AR$7=$G$197,$G$193,1,0)</f>
        <v>0</v>
      </c>
      <c r="AS201" s="27" cm="1">
        <f t="array" ref="AS201">_xlfn.IFS($G$197&lt;=1,$G$193, AS$7=$G$197,$G$193,1,0)</f>
        <v>0</v>
      </c>
      <c r="AT201" s="27" cm="1">
        <f t="array" ref="AT201">_xlfn.IFS($G$197&lt;=1,$G$193, AT$7=$G$197,$G$193,1,0)</f>
        <v>0</v>
      </c>
      <c r="AU201" s="27" cm="1">
        <f t="array" ref="AU201">_xlfn.IFS($G$197&lt;=1,$G$193, AU$7=$G$197,$G$193,1,0)</f>
        <v>0</v>
      </c>
      <c r="AV201" s="27" cm="1">
        <f t="array" ref="AV201">_xlfn.IFS($G$197&lt;=1,$G$193, AV$7=$G$197,$G$193,1,0)</f>
        <v>0</v>
      </c>
      <c r="AW201" s="27" cm="1">
        <f t="array" ref="AW201">_xlfn.IFS($G$197&lt;=1,$G$193, AW$7=$G$197,$G$193,1,0)</f>
        <v>0</v>
      </c>
      <c r="AX201" s="27" cm="1">
        <f t="array" ref="AX201">_xlfn.IFS($G$197&lt;=1,$G$193, AX$7=$G$197,$G$193,1,0)</f>
        <v>0</v>
      </c>
      <c r="AY201" s="27" cm="1">
        <f t="array" ref="AY201">_xlfn.IFS($G$197&lt;=1,$G$193, AY$7=$G$197,$G$193,1,0)</f>
        <v>0</v>
      </c>
      <c r="AZ201" s="27" cm="1">
        <f t="array" ref="AZ201">_xlfn.IFS($G$197&lt;=1,$G$193, AZ$7=$G$197,$G$193,1,0)</f>
        <v>0</v>
      </c>
      <c r="BA201" s="27" cm="1">
        <f t="array" ref="BA201">_xlfn.IFS($G$197&lt;=1,$G$193, BA$7=$G$197,$G$193,1,0)</f>
        <v>0</v>
      </c>
      <c r="BB201" s="27" cm="1">
        <f t="array" ref="BB201">_xlfn.IFS($G$197&lt;=1,$G$193, BB$7=$G$197,$G$193,1,0)</f>
        <v>0</v>
      </c>
      <c r="BC201" s="27" cm="1">
        <f t="array" ref="BC201">_xlfn.IFS($G$197&lt;=1,$G$193, BC$7=$G$197,$G$193,1,0)</f>
        <v>0</v>
      </c>
      <c r="BD201" s="27" cm="1">
        <f t="array" ref="BD201">_xlfn.IFS($G$197&lt;=1,$G$193, BD$7=$G$197,$G$193,1,0)</f>
        <v>0</v>
      </c>
      <c r="BE201" s="27" cm="1">
        <f t="array" ref="BE201">_xlfn.IFS($G$197&lt;=1,$G$193, BE$7=$G$197,$G$193,1,0)</f>
        <v>0</v>
      </c>
      <c r="BF201" s="27" cm="1">
        <f t="array" ref="BF201">_xlfn.IFS($G$197&lt;=1,$G$193, BF$7=$G$197,$G$193,1,0)</f>
        <v>0</v>
      </c>
      <c r="BG201" s="27" cm="1">
        <f t="array" ref="BG201">_xlfn.IFS($G$197&lt;=1,$G$193, BG$7=$G$197,$G$193,1,0)</f>
        <v>0</v>
      </c>
      <c r="BH201" s="27" cm="1">
        <f t="array" ref="BH201">_xlfn.IFS($G$197&lt;=1,$G$193, BH$7=$G$197,$G$193,1,0)</f>
        <v>0</v>
      </c>
      <c r="BI201" s="27" cm="1">
        <f t="array" ref="BI201">_xlfn.IFS($G$197&lt;=1,$G$193, BI$7=$G$197,$G$193,1,0)</f>
        <v>0</v>
      </c>
      <c r="BJ201" s="27" cm="1">
        <f t="array" ref="BJ201">_xlfn.IFS($G$197&lt;=1,$G$193, BJ$7=$G$197,$G$193,1,0)</f>
        <v>0</v>
      </c>
      <c r="BK201" s="27" cm="1">
        <f t="array" ref="BK201">_xlfn.IFS($G$197&lt;=1,$G$193, BK$7=$G$197,$G$193,1,0)</f>
        <v>0</v>
      </c>
      <c r="BL201" s="27" cm="1">
        <f t="array" ref="BL201">_xlfn.IFS($G$197&lt;=1,$G$193, BL$7=$G$197,$G$193,1,0)</f>
        <v>0</v>
      </c>
      <c r="BM201" s="27" cm="1">
        <f t="array" ref="BM201">_xlfn.IFS($G$197&lt;=1,$G$193, BM$7=$G$197,$G$193,1,0)</f>
        <v>0</v>
      </c>
      <c r="BN201" s="27" cm="1">
        <f t="array" ref="BN201">_xlfn.IFS($G$197&lt;=1,$G$193, BN$7=$G$197,$G$193,1,0)</f>
        <v>0</v>
      </c>
    </row>
    <row r="202" spans="2:66" x14ac:dyDescent="0.3">
      <c r="C202" s="31" t="s">
        <v>115</v>
      </c>
      <c r="D202" s="31"/>
      <c r="E202" s="31"/>
      <c r="F202" s="31"/>
      <c r="G202" s="39">
        <f t="shared" ref="G202:M202" si="923">SUM(G201:G201)</f>
        <v>1000000</v>
      </c>
      <c r="H202" s="39">
        <f t="shared" si="923"/>
        <v>0</v>
      </c>
      <c r="I202" s="39">
        <f t="shared" si="923"/>
        <v>0</v>
      </c>
      <c r="J202" s="39">
        <f t="shared" si="923"/>
        <v>0</v>
      </c>
      <c r="K202" s="39">
        <f t="shared" si="923"/>
        <v>0</v>
      </c>
      <c r="L202" s="39">
        <f t="shared" si="923"/>
        <v>0</v>
      </c>
      <c r="M202" s="39">
        <f t="shared" si="923"/>
        <v>0</v>
      </c>
      <c r="N202" s="39">
        <f t="shared" ref="N202:Q202" si="924">SUM(N201:N201)</f>
        <v>0</v>
      </c>
      <c r="O202" s="39">
        <f t="shared" si="924"/>
        <v>0</v>
      </c>
      <c r="P202" s="39">
        <f t="shared" si="924"/>
        <v>0</v>
      </c>
      <c r="Q202" s="39">
        <f t="shared" si="924"/>
        <v>21399063.524993867</v>
      </c>
      <c r="R202" s="39">
        <f t="shared" ref="R202" si="925">SUM(R201:R201)</f>
        <v>0</v>
      </c>
      <c r="S202" s="39">
        <f t="shared" ref="S202" si="926">SUM(S201:S201)</f>
        <v>0</v>
      </c>
      <c r="T202" s="39">
        <f t="shared" ref="T202" si="927">SUM(T201:T201)</f>
        <v>0</v>
      </c>
      <c r="U202" s="39">
        <f t="shared" ref="U202" si="928">SUM(U201:U201)</f>
        <v>0</v>
      </c>
      <c r="V202" s="39">
        <f t="shared" ref="V202" si="929">SUM(V201:V201)</f>
        <v>0</v>
      </c>
      <c r="W202" s="39">
        <f t="shared" ref="W202" si="930">SUM(W201:W201)</f>
        <v>0</v>
      </c>
      <c r="X202" s="39">
        <f t="shared" ref="X202" si="931">SUM(X201:X201)</f>
        <v>0</v>
      </c>
      <c r="Y202" s="39">
        <f t="shared" ref="Y202" si="932">SUM(Y201:Y201)</f>
        <v>0</v>
      </c>
      <c r="Z202" s="39">
        <f t="shared" ref="Z202" si="933">SUM(Z201:Z201)</f>
        <v>0</v>
      </c>
      <c r="AA202" s="39">
        <f t="shared" ref="AA202" si="934">SUM(AA201:AA201)</f>
        <v>0</v>
      </c>
      <c r="AB202" s="39">
        <f t="shared" ref="AB202" si="935">SUM(AB201:AB201)</f>
        <v>0</v>
      </c>
      <c r="AC202" s="39">
        <f t="shared" ref="AC202" si="936">SUM(AC201:AC201)</f>
        <v>0</v>
      </c>
      <c r="AD202" s="39">
        <f t="shared" ref="AD202" si="937">SUM(AD201:AD201)</f>
        <v>0</v>
      </c>
      <c r="AE202" s="39">
        <f t="shared" ref="AE202:BN202" si="938">SUM(AE201:AE201)</f>
        <v>0</v>
      </c>
      <c r="AF202" s="39">
        <f t="shared" si="938"/>
        <v>0</v>
      </c>
      <c r="AG202" s="39">
        <f t="shared" si="938"/>
        <v>0</v>
      </c>
      <c r="AH202" s="39">
        <f t="shared" si="938"/>
        <v>0</v>
      </c>
      <c r="AI202" s="39">
        <f t="shared" si="938"/>
        <v>0</v>
      </c>
      <c r="AJ202" s="39">
        <f t="shared" si="938"/>
        <v>0</v>
      </c>
      <c r="AK202" s="39">
        <f t="shared" si="938"/>
        <v>0</v>
      </c>
      <c r="AL202" s="39">
        <f t="shared" si="938"/>
        <v>0</v>
      </c>
      <c r="AM202" s="39">
        <f t="shared" si="938"/>
        <v>0</v>
      </c>
      <c r="AN202" s="39">
        <f t="shared" si="938"/>
        <v>0</v>
      </c>
      <c r="AO202" s="39">
        <f t="shared" si="938"/>
        <v>0</v>
      </c>
      <c r="AP202" s="39">
        <f t="shared" si="938"/>
        <v>0</v>
      </c>
      <c r="AQ202" s="39">
        <f t="shared" si="938"/>
        <v>0</v>
      </c>
      <c r="AR202" s="39">
        <f t="shared" si="938"/>
        <v>0</v>
      </c>
      <c r="AS202" s="39">
        <f t="shared" si="938"/>
        <v>0</v>
      </c>
      <c r="AT202" s="39">
        <f t="shared" si="938"/>
        <v>0</v>
      </c>
      <c r="AU202" s="39">
        <f t="shared" si="938"/>
        <v>0</v>
      </c>
      <c r="AV202" s="39">
        <f t="shared" si="938"/>
        <v>0</v>
      </c>
      <c r="AW202" s="39">
        <f t="shared" si="938"/>
        <v>0</v>
      </c>
      <c r="AX202" s="39">
        <f t="shared" si="938"/>
        <v>0</v>
      </c>
      <c r="AY202" s="39">
        <f t="shared" si="938"/>
        <v>0</v>
      </c>
      <c r="AZ202" s="39">
        <f t="shared" si="938"/>
        <v>0</v>
      </c>
      <c r="BA202" s="39">
        <f t="shared" si="938"/>
        <v>0</v>
      </c>
      <c r="BB202" s="39">
        <f t="shared" si="938"/>
        <v>0</v>
      </c>
      <c r="BC202" s="39">
        <f t="shared" si="938"/>
        <v>0</v>
      </c>
      <c r="BD202" s="39">
        <f t="shared" si="938"/>
        <v>0</v>
      </c>
      <c r="BE202" s="39">
        <f t="shared" si="938"/>
        <v>0</v>
      </c>
      <c r="BF202" s="39">
        <f t="shared" si="938"/>
        <v>0</v>
      </c>
      <c r="BG202" s="39">
        <f t="shared" si="938"/>
        <v>0</v>
      </c>
      <c r="BH202" s="39">
        <f t="shared" si="938"/>
        <v>0</v>
      </c>
      <c r="BI202" s="39">
        <f t="shared" si="938"/>
        <v>0</v>
      </c>
      <c r="BJ202" s="39">
        <f t="shared" si="938"/>
        <v>0</v>
      </c>
      <c r="BK202" s="39">
        <f t="shared" si="938"/>
        <v>0</v>
      </c>
      <c r="BL202" s="39">
        <f t="shared" si="938"/>
        <v>0</v>
      </c>
      <c r="BM202" s="39">
        <f t="shared" si="938"/>
        <v>0</v>
      </c>
      <c r="BN202" s="39">
        <f t="shared" si="938"/>
        <v>0</v>
      </c>
    </row>
    <row r="204" spans="2:66" x14ac:dyDescent="0.3">
      <c r="B204" s="22" t="s">
        <v>0</v>
      </c>
      <c r="C204" s="4" t="s">
        <v>116</v>
      </c>
    </row>
    <row r="205" spans="2:66" ht="3" customHeight="1" x14ac:dyDescent="0.3"/>
    <row r="206" spans="2:66" ht="14.4" customHeight="1" x14ac:dyDescent="0.3">
      <c r="C206" t="str">
        <f>C177</f>
        <v>Cash from Operations</v>
      </c>
      <c r="G206" s="37">
        <f t="shared" ref="G206:M206" si="939">G177</f>
        <v>-62375.833333333328</v>
      </c>
      <c r="H206" s="37">
        <f t="shared" si="939"/>
        <v>-61346.416666666672</v>
      </c>
      <c r="I206" s="37">
        <f t="shared" si="939"/>
        <v>-60364.599999999991</v>
      </c>
      <c r="J206" s="37">
        <f t="shared" si="939"/>
        <v>-77566.583333333328</v>
      </c>
      <c r="K206" s="37">
        <f t="shared" si="939"/>
        <v>-75803.399999999994</v>
      </c>
      <c r="L206" s="37">
        <f t="shared" si="939"/>
        <v>-74865.216666666674</v>
      </c>
      <c r="M206" s="37">
        <f t="shared" si="939"/>
        <v>-98609.293333333349</v>
      </c>
      <c r="N206" s="37">
        <f t="shared" ref="N206:Q206" si="940">N177</f>
        <v>-96001.223333333328</v>
      </c>
      <c r="O206" s="37">
        <f t="shared" si="940"/>
        <v>-94981.203333333309</v>
      </c>
      <c r="P206" s="37">
        <f t="shared" si="940"/>
        <v>-131091.79876666667</v>
      </c>
      <c r="Q206" s="37">
        <f t="shared" si="940"/>
        <v>-127405.01179999998</v>
      </c>
      <c r="R206" s="37">
        <f t="shared" ref="R206:AD206" si="941">R177</f>
        <v>-132040.71776666664</v>
      </c>
      <c r="S206" s="37">
        <f t="shared" si="941"/>
        <v>-143332.92606299999</v>
      </c>
      <c r="T206" s="37">
        <f t="shared" si="941"/>
        <v>-137300.50395433337</v>
      </c>
      <c r="U206" s="37">
        <f t="shared" si="941"/>
        <v>-134492.46705400001</v>
      </c>
      <c r="V206" s="37">
        <f t="shared" si="941"/>
        <v>-177872.02763128004</v>
      </c>
      <c r="W206" s="37">
        <f t="shared" si="941"/>
        <v>-169711.03505032</v>
      </c>
      <c r="X206" s="37">
        <f t="shared" si="941"/>
        <v>-166253.43925061001</v>
      </c>
      <c r="Y206" s="37">
        <f t="shared" si="941"/>
        <v>-192675.07063700462</v>
      </c>
      <c r="Z206" s="37">
        <f t="shared" si="941"/>
        <v>-199737.07396961169</v>
      </c>
      <c r="AA206" s="37">
        <f t="shared" si="941"/>
        <v>-194989.25098185043</v>
      </c>
      <c r="AB206" s="37">
        <f t="shared" si="941"/>
        <v>-222130.58620480599</v>
      </c>
      <c r="AC206" s="37">
        <f t="shared" si="941"/>
        <v>-226017.69952526712</v>
      </c>
      <c r="AD206" s="37">
        <f t="shared" si="941"/>
        <v>-240191.72012567392</v>
      </c>
      <c r="AE206" s="37">
        <f t="shared" ref="AE206:BN206" si="942">AE177</f>
        <v>-260223.40542175889</v>
      </c>
      <c r="AF206" s="37">
        <f t="shared" si="942"/>
        <v>-265261.98736464896</v>
      </c>
      <c r="AG206" s="37">
        <f t="shared" si="942"/>
        <v>-262576.75470092008</v>
      </c>
      <c r="AH206" s="37">
        <f t="shared" si="942"/>
        <v>-308488.0512490602</v>
      </c>
      <c r="AI206" s="37">
        <f t="shared" si="942"/>
        <v>-283569.92003201914</v>
      </c>
      <c r="AJ206" s="37">
        <f t="shared" si="942"/>
        <v>-296088.6721967762</v>
      </c>
      <c r="AK206" s="37">
        <f t="shared" si="942"/>
        <v>-340856.0944032491</v>
      </c>
      <c r="AL206" s="37">
        <f t="shared" si="942"/>
        <v>-316041.16595194902</v>
      </c>
      <c r="AM206" s="37">
        <f t="shared" si="942"/>
        <v>-330862.30292085477</v>
      </c>
      <c r="AN206" s="37">
        <f t="shared" si="942"/>
        <v>-375584.84661286115</v>
      </c>
      <c r="AO206" s="37">
        <f t="shared" si="942"/>
        <v>-358400.63864367333</v>
      </c>
      <c r="AP206" s="37">
        <f t="shared" si="942"/>
        <v>-368801.10642950132</v>
      </c>
      <c r="AQ206" s="37">
        <f t="shared" si="942"/>
        <v>-410740.98563050438</v>
      </c>
      <c r="AR206" s="37">
        <f t="shared" si="942"/>
        <v>-386965.59901971836</v>
      </c>
      <c r="AS206" s="37">
        <f t="shared" si="942"/>
        <v>-390227.5677376517</v>
      </c>
      <c r="AT206" s="37">
        <f t="shared" si="942"/>
        <v>-460718.06748916721</v>
      </c>
      <c r="AU206" s="37">
        <f t="shared" si="942"/>
        <v>-423827.33885262499</v>
      </c>
      <c r="AV206" s="37">
        <f t="shared" si="942"/>
        <v>-437635.82259634964</v>
      </c>
      <c r="AW206" s="37">
        <f t="shared" si="942"/>
        <v>-513902.24861840752</v>
      </c>
      <c r="AX206" s="37">
        <f t="shared" si="942"/>
        <v>-473324.49394919502</v>
      </c>
      <c r="AY206" s="37">
        <f t="shared" si="942"/>
        <v>-482148.59545510879</v>
      </c>
      <c r="AZ206" s="37">
        <f t="shared" si="942"/>
        <v>-582025.15126639954</v>
      </c>
      <c r="BA206" s="37">
        <f t="shared" si="942"/>
        <v>-519096.96268524497</v>
      </c>
      <c r="BB206" s="37">
        <f t="shared" si="942"/>
        <v>-536327.94881677476</v>
      </c>
      <c r="BC206" s="37">
        <f t="shared" si="942"/>
        <v>-634451.87030082615</v>
      </c>
      <c r="BD206" s="37">
        <f t="shared" si="942"/>
        <v>-574575.24281308358</v>
      </c>
      <c r="BE206" s="37">
        <f t="shared" si="942"/>
        <v>-594767.05579079222</v>
      </c>
      <c r="BF206" s="37">
        <f t="shared" si="942"/>
        <v>-731492.70977642154</v>
      </c>
      <c r="BG206" s="37">
        <f t="shared" si="942"/>
        <v>-626564.57226608892</v>
      </c>
      <c r="BH206" s="37">
        <f t="shared" si="942"/>
        <v>-656397.46434799442</v>
      </c>
      <c r="BI206" s="37">
        <f t="shared" si="942"/>
        <v>-835389.23303015321</v>
      </c>
      <c r="BJ206" s="37">
        <f t="shared" si="942"/>
        <v>-712277.23268162599</v>
      </c>
      <c r="BK206" s="37">
        <f t="shared" si="942"/>
        <v>-736350.82412762055</v>
      </c>
      <c r="BL206" s="37">
        <f t="shared" si="942"/>
        <v>-964686.19283378124</v>
      </c>
      <c r="BM206" s="37">
        <f t="shared" si="942"/>
        <v>-812953.34354801942</v>
      </c>
      <c r="BN206" s="37">
        <f t="shared" si="942"/>
        <v>-838306.95665195049</v>
      </c>
    </row>
    <row r="207" spans="2:66" ht="14.4" customHeight="1" x14ac:dyDescent="0.3">
      <c r="C207" t="str">
        <f>C181</f>
        <v>Cash from Investing</v>
      </c>
      <c r="G207" s="27">
        <f t="shared" ref="G207:M207" si="943">G181</f>
        <v>0</v>
      </c>
      <c r="H207" s="27">
        <f t="shared" si="943"/>
        <v>0</v>
      </c>
      <c r="I207" s="27">
        <f t="shared" si="943"/>
        <v>0</v>
      </c>
      <c r="J207" s="27">
        <f t="shared" si="943"/>
        <v>0</v>
      </c>
      <c r="K207" s="27">
        <f t="shared" si="943"/>
        <v>0</v>
      </c>
      <c r="L207" s="27">
        <f t="shared" si="943"/>
        <v>0</v>
      </c>
      <c r="M207" s="27">
        <f t="shared" si="943"/>
        <v>0</v>
      </c>
      <c r="N207" s="27">
        <f t="shared" ref="N207:Q207" si="944">N181</f>
        <v>0</v>
      </c>
      <c r="O207" s="27">
        <f t="shared" si="944"/>
        <v>0</v>
      </c>
      <c r="P207" s="27">
        <f t="shared" si="944"/>
        <v>0</v>
      </c>
      <c r="Q207" s="27">
        <f t="shared" si="944"/>
        <v>0</v>
      </c>
      <c r="R207" s="27">
        <f t="shared" ref="R207:AD207" si="945">R181</f>
        <v>0</v>
      </c>
      <c r="S207" s="27">
        <f t="shared" si="945"/>
        <v>0</v>
      </c>
      <c r="T207" s="27">
        <f t="shared" si="945"/>
        <v>0</v>
      </c>
      <c r="U207" s="27">
        <f t="shared" si="945"/>
        <v>0</v>
      </c>
      <c r="V207" s="27">
        <f t="shared" si="945"/>
        <v>0</v>
      </c>
      <c r="W207" s="27">
        <f t="shared" si="945"/>
        <v>0</v>
      </c>
      <c r="X207" s="27">
        <f t="shared" si="945"/>
        <v>0</v>
      </c>
      <c r="Y207" s="27">
        <f t="shared" si="945"/>
        <v>0</v>
      </c>
      <c r="Z207" s="27">
        <f t="shared" si="945"/>
        <v>0</v>
      </c>
      <c r="AA207" s="27">
        <f t="shared" si="945"/>
        <v>0</v>
      </c>
      <c r="AB207" s="27">
        <f t="shared" si="945"/>
        <v>0</v>
      </c>
      <c r="AC207" s="27">
        <f t="shared" si="945"/>
        <v>0</v>
      </c>
      <c r="AD207" s="27">
        <f t="shared" si="945"/>
        <v>0</v>
      </c>
      <c r="AE207" s="27">
        <f t="shared" ref="AE207:BN207" si="946">AE181</f>
        <v>0</v>
      </c>
      <c r="AF207" s="27">
        <f t="shared" si="946"/>
        <v>0</v>
      </c>
      <c r="AG207" s="27">
        <f t="shared" si="946"/>
        <v>0</v>
      </c>
      <c r="AH207" s="27">
        <f t="shared" si="946"/>
        <v>0</v>
      </c>
      <c r="AI207" s="27">
        <f t="shared" si="946"/>
        <v>0</v>
      </c>
      <c r="AJ207" s="27">
        <f t="shared" si="946"/>
        <v>0</v>
      </c>
      <c r="AK207" s="27">
        <f t="shared" si="946"/>
        <v>0</v>
      </c>
      <c r="AL207" s="27">
        <f t="shared" si="946"/>
        <v>0</v>
      </c>
      <c r="AM207" s="27">
        <f t="shared" si="946"/>
        <v>0</v>
      </c>
      <c r="AN207" s="27">
        <f t="shared" si="946"/>
        <v>0</v>
      </c>
      <c r="AO207" s="27">
        <f t="shared" si="946"/>
        <v>0</v>
      </c>
      <c r="AP207" s="27">
        <f t="shared" si="946"/>
        <v>0</v>
      </c>
      <c r="AQ207" s="27">
        <f t="shared" si="946"/>
        <v>0</v>
      </c>
      <c r="AR207" s="27">
        <f t="shared" si="946"/>
        <v>0</v>
      </c>
      <c r="AS207" s="27">
        <f t="shared" si="946"/>
        <v>0</v>
      </c>
      <c r="AT207" s="27">
        <f t="shared" si="946"/>
        <v>0</v>
      </c>
      <c r="AU207" s="27">
        <f t="shared" si="946"/>
        <v>0</v>
      </c>
      <c r="AV207" s="27">
        <f t="shared" si="946"/>
        <v>0</v>
      </c>
      <c r="AW207" s="27">
        <f t="shared" si="946"/>
        <v>0</v>
      </c>
      <c r="AX207" s="27">
        <f t="shared" si="946"/>
        <v>0</v>
      </c>
      <c r="AY207" s="27">
        <f t="shared" si="946"/>
        <v>0</v>
      </c>
      <c r="AZ207" s="27">
        <f t="shared" si="946"/>
        <v>0</v>
      </c>
      <c r="BA207" s="27">
        <f t="shared" si="946"/>
        <v>0</v>
      </c>
      <c r="BB207" s="27">
        <f t="shared" si="946"/>
        <v>0</v>
      </c>
      <c r="BC207" s="27">
        <f t="shared" si="946"/>
        <v>0</v>
      </c>
      <c r="BD207" s="27">
        <f t="shared" si="946"/>
        <v>0</v>
      </c>
      <c r="BE207" s="27">
        <f t="shared" si="946"/>
        <v>0</v>
      </c>
      <c r="BF207" s="27">
        <f t="shared" si="946"/>
        <v>0</v>
      </c>
      <c r="BG207" s="27">
        <f t="shared" si="946"/>
        <v>0</v>
      </c>
      <c r="BH207" s="27">
        <f t="shared" si="946"/>
        <v>0</v>
      </c>
      <c r="BI207" s="27">
        <f t="shared" si="946"/>
        <v>0</v>
      </c>
      <c r="BJ207" s="27">
        <f t="shared" si="946"/>
        <v>0</v>
      </c>
      <c r="BK207" s="27">
        <f t="shared" si="946"/>
        <v>0</v>
      </c>
      <c r="BL207" s="27">
        <f t="shared" si="946"/>
        <v>0</v>
      </c>
      <c r="BM207" s="27">
        <f t="shared" si="946"/>
        <v>0</v>
      </c>
      <c r="BN207" s="27">
        <f t="shared" si="946"/>
        <v>0</v>
      </c>
    </row>
    <row r="208" spans="2:66" ht="14.4" customHeight="1" x14ac:dyDescent="0.3">
      <c r="C208" t="str">
        <f>C202</f>
        <v>Cash from Financing</v>
      </c>
      <c r="G208" s="27">
        <f>G202</f>
        <v>1000000</v>
      </c>
      <c r="H208" s="27">
        <f t="shared" ref="H208:L208" si="947">H202</f>
        <v>0</v>
      </c>
      <c r="I208" s="27">
        <f t="shared" si="947"/>
        <v>0</v>
      </c>
      <c r="J208" s="27">
        <f t="shared" si="947"/>
        <v>0</v>
      </c>
      <c r="K208" s="27">
        <f t="shared" si="947"/>
        <v>0</v>
      </c>
      <c r="L208" s="27">
        <f t="shared" si="947"/>
        <v>0</v>
      </c>
      <c r="M208" s="27">
        <f t="shared" ref="M208:Q208" si="948">M202</f>
        <v>0</v>
      </c>
      <c r="N208" s="27">
        <f t="shared" si="948"/>
        <v>0</v>
      </c>
      <c r="O208" s="27">
        <f t="shared" si="948"/>
        <v>0</v>
      </c>
      <c r="P208" s="27">
        <f t="shared" si="948"/>
        <v>0</v>
      </c>
      <c r="Q208" s="27">
        <f t="shared" si="948"/>
        <v>21399063.524993867</v>
      </c>
      <c r="R208" s="27">
        <f t="shared" ref="R208:AD208" si="949">R202</f>
        <v>0</v>
      </c>
      <c r="S208" s="27">
        <f t="shared" si="949"/>
        <v>0</v>
      </c>
      <c r="T208" s="27">
        <f t="shared" si="949"/>
        <v>0</v>
      </c>
      <c r="U208" s="27">
        <f t="shared" si="949"/>
        <v>0</v>
      </c>
      <c r="V208" s="27">
        <f t="shared" si="949"/>
        <v>0</v>
      </c>
      <c r="W208" s="27">
        <f t="shared" si="949"/>
        <v>0</v>
      </c>
      <c r="X208" s="27">
        <f t="shared" si="949"/>
        <v>0</v>
      </c>
      <c r="Y208" s="27">
        <f t="shared" si="949"/>
        <v>0</v>
      </c>
      <c r="Z208" s="27">
        <f t="shared" si="949"/>
        <v>0</v>
      </c>
      <c r="AA208" s="27">
        <f t="shared" si="949"/>
        <v>0</v>
      </c>
      <c r="AB208" s="27">
        <f t="shared" si="949"/>
        <v>0</v>
      </c>
      <c r="AC208" s="27">
        <f t="shared" si="949"/>
        <v>0</v>
      </c>
      <c r="AD208" s="27">
        <f t="shared" si="949"/>
        <v>0</v>
      </c>
      <c r="AE208" s="27">
        <f t="shared" ref="AE208:BN208" si="950">AE202</f>
        <v>0</v>
      </c>
      <c r="AF208" s="27">
        <f t="shared" si="950"/>
        <v>0</v>
      </c>
      <c r="AG208" s="27">
        <f t="shared" si="950"/>
        <v>0</v>
      </c>
      <c r="AH208" s="27">
        <f t="shared" si="950"/>
        <v>0</v>
      </c>
      <c r="AI208" s="27">
        <f t="shared" si="950"/>
        <v>0</v>
      </c>
      <c r="AJ208" s="27">
        <f t="shared" si="950"/>
        <v>0</v>
      </c>
      <c r="AK208" s="27">
        <f t="shared" si="950"/>
        <v>0</v>
      </c>
      <c r="AL208" s="27">
        <f t="shared" si="950"/>
        <v>0</v>
      </c>
      <c r="AM208" s="27">
        <f t="shared" si="950"/>
        <v>0</v>
      </c>
      <c r="AN208" s="27">
        <f t="shared" si="950"/>
        <v>0</v>
      </c>
      <c r="AO208" s="27">
        <f t="shared" si="950"/>
        <v>0</v>
      </c>
      <c r="AP208" s="27">
        <f t="shared" si="950"/>
        <v>0</v>
      </c>
      <c r="AQ208" s="27">
        <f t="shared" si="950"/>
        <v>0</v>
      </c>
      <c r="AR208" s="27">
        <f t="shared" si="950"/>
        <v>0</v>
      </c>
      <c r="AS208" s="27">
        <f t="shared" si="950"/>
        <v>0</v>
      </c>
      <c r="AT208" s="27">
        <f t="shared" si="950"/>
        <v>0</v>
      </c>
      <c r="AU208" s="27">
        <f t="shared" si="950"/>
        <v>0</v>
      </c>
      <c r="AV208" s="27">
        <f t="shared" si="950"/>
        <v>0</v>
      </c>
      <c r="AW208" s="27">
        <f t="shared" si="950"/>
        <v>0</v>
      </c>
      <c r="AX208" s="27">
        <f t="shared" si="950"/>
        <v>0</v>
      </c>
      <c r="AY208" s="27">
        <f t="shared" si="950"/>
        <v>0</v>
      </c>
      <c r="AZ208" s="27">
        <f t="shared" si="950"/>
        <v>0</v>
      </c>
      <c r="BA208" s="27">
        <f t="shared" si="950"/>
        <v>0</v>
      </c>
      <c r="BB208" s="27">
        <f t="shared" si="950"/>
        <v>0</v>
      </c>
      <c r="BC208" s="27">
        <f t="shared" si="950"/>
        <v>0</v>
      </c>
      <c r="BD208" s="27">
        <f t="shared" si="950"/>
        <v>0</v>
      </c>
      <c r="BE208" s="27">
        <f t="shared" si="950"/>
        <v>0</v>
      </c>
      <c r="BF208" s="27">
        <f t="shared" si="950"/>
        <v>0</v>
      </c>
      <c r="BG208" s="27">
        <f t="shared" si="950"/>
        <v>0</v>
      </c>
      <c r="BH208" s="27">
        <f t="shared" si="950"/>
        <v>0</v>
      </c>
      <c r="BI208" s="27">
        <f t="shared" si="950"/>
        <v>0</v>
      </c>
      <c r="BJ208" s="27">
        <f t="shared" si="950"/>
        <v>0</v>
      </c>
      <c r="BK208" s="27">
        <f t="shared" si="950"/>
        <v>0</v>
      </c>
      <c r="BL208" s="27">
        <f t="shared" si="950"/>
        <v>0</v>
      </c>
      <c r="BM208" s="27">
        <f t="shared" si="950"/>
        <v>0</v>
      </c>
      <c r="BN208" s="27">
        <f t="shared" si="950"/>
        <v>0</v>
      </c>
    </row>
    <row r="209" spans="3:66" ht="14.4" customHeight="1" x14ac:dyDescent="0.3">
      <c r="C209" s="35" t="s">
        <v>116</v>
      </c>
      <c r="D209" s="35"/>
      <c r="E209" s="35"/>
      <c r="F209" s="35"/>
      <c r="G209" s="40">
        <f>SUM(G206:G208)</f>
        <v>937624.16666666663</v>
      </c>
      <c r="H209" s="40">
        <f t="shared" ref="H209:M209" si="951">SUM(H206:H208)</f>
        <v>-61346.416666666672</v>
      </c>
      <c r="I209" s="40">
        <f t="shared" si="951"/>
        <v>-60364.599999999991</v>
      </c>
      <c r="J209" s="40">
        <f t="shared" si="951"/>
        <v>-77566.583333333328</v>
      </c>
      <c r="K209" s="40">
        <f t="shared" si="951"/>
        <v>-75803.399999999994</v>
      </c>
      <c r="L209" s="40">
        <f t="shared" si="951"/>
        <v>-74865.216666666674</v>
      </c>
      <c r="M209" s="40">
        <f t="shared" si="951"/>
        <v>-98609.293333333349</v>
      </c>
      <c r="N209" s="40">
        <f t="shared" ref="N209" si="952">SUM(N206:N208)</f>
        <v>-96001.223333333328</v>
      </c>
      <c r="O209" s="40">
        <f t="shared" ref="O209" si="953">SUM(O206:O208)</f>
        <v>-94981.203333333309</v>
      </c>
      <c r="P209" s="40">
        <f t="shared" ref="P209" si="954">SUM(P206:P208)</f>
        <v>-131091.79876666667</v>
      </c>
      <c r="Q209" s="40">
        <f t="shared" ref="Q209" si="955">SUM(Q206:Q208)</f>
        <v>21271658.513193868</v>
      </c>
      <c r="R209" s="40">
        <f t="shared" ref="R209" si="956">SUM(R206:R208)</f>
        <v>-132040.71776666664</v>
      </c>
      <c r="S209" s="40">
        <f t="shared" ref="S209" si="957">SUM(S206:S208)</f>
        <v>-143332.92606299999</v>
      </c>
      <c r="T209" s="40">
        <f t="shared" ref="T209" si="958">SUM(T206:T208)</f>
        <v>-137300.50395433337</v>
      </c>
      <c r="U209" s="40">
        <f t="shared" ref="U209" si="959">SUM(U206:U208)</f>
        <v>-134492.46705400001</v>
      </c>
      <c r="V209" s="40">
        <f t="shared" ref="V209" si="960">SUM(V206:V208)</f>
        <v>-177872.02763128004</v>
      </c>
      <c r="W209" s="40">
        <f t="shared" ref="W209" si="961">SUM(W206:W208)</f>
        <v>-169711.03505032</v>
      </c>
      <c r="X209" s="40">
        <f t="shared" ref="X209" si="962">SUM(X206:X208)</f>
        <v>-166253.43925061001</v>
      </c>
      <c r="Y209" s="40">
        <f t="shared" ref="Y209" si="963">SUM(Y206:Y208)</f>
        <v>-192675.07063700462</v>
      </c>
      <c r="Z209" s="40">
        <f t="shared" ref="Z209" si="964">SUM(Z206:Z208)</f>
        <v>-199737.07396961169</v>
      </c>
      <c r="AA209" s="40">
        <f t="shared" ref="AA209" si="965">SUM(AA206:AA208)</f>
        <v>-194989.25098185043</v>
      </c>
      <c r="AB209" s="40">
        <f t="shared" ref="AB209" si="966">SUM(AB206:AB208)</f>
        <v>-222130.58620480599</v>
      </c>
      <c r="AC209" s="40">
        <f t="shared" ref="AC209" si="967">SUM(AC206:AC208)</f>
        <v>-226017.69952526712</v>
      </c>
      <c r="AD209" s="40">
        <f t="shared" ref="AD209" si="968">SUM(AD206:AD208)</f>
        <v>-240191.72012567392</v>
      </c>
      <c r="AE209" s="40">
        <f t="shared" ref="AE209:BN209" si="969">SUM(AE206:AE208)</f>
        <v>-260223.40542175889</v>
      </c>
      <c r="AF209" s="40">
        <f t="shared" si="969"/>
        <v>-265261.98736464896</v>
      </c>
      <c r="AG209" s="40">
        <f t="shared" si="969"/>
        <v>-262576.75470092008</v>
      </c>
      <c r="AH209" s="40">
        <f t="shared" si="969"/>
        <v>-308488.0512490602</v>
      </c>
      <c r="AI209" s="40">
        <f t="shared" si="969"/>
        <v>-283569.92003201914</v>
      </c>
      <c r="AJ209" s="40">
        <f t="shared" si="969"/>
        <v>-296088.6721967762</v>
      </c>
      <c r="AK209" s="40">
        <f t="shared" si="969"/>
        <v>-340856.0944032491</v>
      </c>
      <c r="AL209" s="40">
        <f t="shared" si="969"/>
        <v>-316041.16595194902</v>
      </c>
      <c r="AM209" s="40">
        <f t="shared" si="969"/>
        <v>-330862.30292085477</v>
      </c>
      <c r="AN209" s="40">
        <f t="shared" si="969"/>
        <v>-375584.84661286115</v>
      </c>
      <c r="AO209" s="40">
        <f t="shared" si="969"/>
        <v>-358400.63864367333</v>
      </c>
      <c r="AP209" s="40">
        <f t="shared" si="969"/>
        <v>-368801.10642950132</v>
      </c>
      <c r="AQ209" s="40">
        <f t="shared" si="969"/>
        <v>-410740.98563050438</v>
      </c>
      <c r="AR209" s="40">
        <f t="shared" si="969"/>
        <v>-386965.59901971836</v>
      </c>
      <c r="AS209" s="40">
        <f t="shared" si="969"/>
        <v>-390227.5677376517</v>
      </c>
      <c r="AT209" s="40">
        <f t="shared" si="969"/>
        <v>-460718.06748916721</v>
      </c>
      <c r="AU209" s="40">
        <f t="shared" si="969"/>
        <v>-423827.33885262499</v>
      </c>
      <c r="AV209" s="40">
        <f t="shared" si="969"/>
        <v>-437635.82259634964</v>
      </c>
      <c r="AW209" s="40">
        <f t="shared" si="969"/>
        <v>-513902.24861840752</v>
      </c>
      <c r="AX209" s="40">
        <f t="shared" si="969"/>
        <v>-473324.49394919502</v>
      </c>
      <c r="AY209" s="40">
        <f t="shared" si="969"/>
        <v>-482148.59545510879</v>
      </c>
      <c r="AZ209" s="40">
        <f t="shared" si="969"/>
        <v>-582025.15126639954</v>
      </c>
      <c r="BA209" s="40">
        <f t="shared" si="969"/>
        <v>-519096.96268524497</v>
      </c>
      <c r="BB209" s="40">
        <f t="shared" si="969"/>
        <v>-536327.94881677476</v>
      </c>
      <c r="BC209" s="40">
        <f t="shared" si="969"/>
        <v>-634451.87030082615</v>
      </c>
      <c r="BD209" s="40">
        <f t="shared" si="969"/>
        <v>-574575.24281308358</v>
      </c>
      <c r="BE209" s="40">
        <f t="shared" si="969"/>
        <v>-594767.05579079222</v>
      </c>
      <c r="BF209" s="40">
        <f t="shared" si="969"/>
        <v>-731492.70977642154</v>
      </c>
      <c r="BG209" s="40">
        <f t="shared" si="969"/>
        <v>-626564.57226608892</v>
      </c>
      <c r="BH209" s="40">
        <f t="shared" si="969"/>
        <v>-656397.46434799442</v>
      </c>
      <c r="BI209" s="40">
        <f t="shared" si="969"/>
        <v>-835389.23303015321</v>
      </c>
      <c r="BJ209" s="40">
        <f t="shared" si="969"/>
        <v>-712277.23268162599</v>
      </c>
      <c r="BK209" s="40">
        <f t="shared" si="969"/>
        <v>-736350.82412762055</v>
      </c>
      <c r="BL209" s="40">
        <f t="shared" si="969"/>
        <v>-964686.19283378124</v>
      </c>
      <c r="BM209" s="40">
        <f t="shared" si="969"/>
        <v>-812953.34354801942</v>
      </c>
      <c r="BN209" s="40">
        <f t="shared" si="969"/>
        <v>-838306.95665195049</v>
      </c>
    </row>
    <row r="210" spans="3:66" ht="14.4" customHeight="1" x14ac:dyDescent="0.3"/>
    <row r="211" spans="3:66" ht="14.4" customHeight="1" x14ac:dyDescent="0.3">
      <c r="C211" t="s">
        <v>117</v>
      </c>
      <c r="G211" s="37">
        <f>F213</f>
        <v>0</v>
      </c>
      <c r="H211" s="37">
        <f>G213</f>
        <v>937624.16666666663</v>
      </c>
      <c r="I211" s="37">
        <f t="shared" ref="I211:M211" si="970">H213</f>
        <v>876277.75</v>
      </c>
      <c r="J211" s="37">
        <f t="shared" si="970"/>
        <v>815913.15</v>
      </c>
      <c r="K211" s="37">
        <f t="shared" si="970"/>
        <v>738346.56666666665</v>
      </c>
      <c r="L211" s="37">
        <f t="shared" si="970"/>
        <v>662543.16666666663</v>
      </c>
      <c r="M211" s="37">
        <f t="shared" si="970"/>
        <v>587677.94999999995</v>
      </c>
      <c r="N211" s="37">
        <f t="shared" ref="N211:Q211" si="971">M213</f>
        <v>489068.65666666662</v>
      </c>
      <c r="O211" s="37">
        <f t="shared" si="971"/>
        <v>393067.43333333329</v>
      </c>
      <c r="P211" s="37">
        <f t="shared" si="971"/>
        <v>298086.23</v>
      </c>
      <c r="Q211" s="37">
        <f t="shared" si="971"/>
        <v>166994.43123333331</v>
      </c>
      <c r="R211" s="37">
        <f t="shared" ref="R211:AD211" si="972">Q213</f>
        <v>21438652.9444272</v>
      </c>
      <c r="S211" s="37">
        <f t="shared" si="972"/>
        <v>21306612.226660535</v>
      </c>
      <c r="T211" s="37">
        <f t="shared" si="972"/>
        <v>21163279.300597534</v>
      </c>
      <c r="U211" s="37">
        <f t="shared" si="972"/>
        <v>21025978.796643201</v>
      </c>
      <c r="V211" s="37">
        <f t="shared" si="972"/>
        <v>20891486.329589203</v>
      </c>
      <c r="W211" s="37">
        <f t="shared" si="972"/>
        <v>20713614.301957924</v>
      </c>
      <c r="X211" s="37">
        <f t="shared" si="972"/>
        <v>20543903.266907603</v>
      </c>
      <c r="Y211" s="37">
        <f t="shared" si="972"/>
        <v>20377649.827656992</v>
      </c>
      <c r="Z211" s="37">
        <f t="shared" si="972"/>
        <v>20184974.757019985</v>
      </c>
      <c r="AA211" s="37">
        <f t="shared" si="972"/>
        <v>19985237.683050375</v>
      </c>
      <c r="AB211" s="37">
        <f t="shared" si="972"/>
        <v>19790248.432068527</v>
      </c>
      <c r="AC211" s="37">
        <f t="shared" si="972"/>
        <v>19568117.845863722</v>
      </c>
      <c r="AD211" s="37">
        <f t="shared" si="972"/>
        <v>19342100.146338455</v>
      </c>
      <c r="AE211" s="37">
        <f t="shared" ref="AE211" si="973">AD213</f>
        <v>19101908.42621278</v>
      </c>
      <c r="AF211" s="37">
        <f t="shared" ref="AF211" si="974">AE213</f>
        <v>18841685.02079102</v>
      </c>
      <c r="AG211" s="37">
        <f t="shared" ref="AG211" si="975">AF213</f>
        <v>18576423.03342637</v>
      </c>
      <c r="AH211" s="37">
        <f t="shared" ref="AH211" si="976">AG213</f>
        <v>18313846.278725449</v>
      </c>
      <c r="AI211" s="37">
        <f t="shared" ref="AI211" si="977">AH213</f>
        <v>18005358.227476388</v>
      </c>
      <c r="AJ211" s="37">
        <f t="shared" ref="AJ211" si="978">AI213</f>
        <v>17721788.307444368</v>
      </c>
      <c r="AK211" s="37">
        <f t="shared" ref="AK211" si="979">AJ213</f>
        <v>17425699.635247592</v>
      </c>
      <c r="AL211" s="37">
        <f t="shared" ref="AL211" si="980">AK213</f>
        <v>17084843.540844344</v>
      </c>
      <c r="AM211" s="37">
        <f t="shared" ref="AM211" si="981">AL213</f>
        <v>16768802.374892395</v>
      </c>
      <c r="AN211" s="37">
        <f t="shared" ref="AN211" si="982">AM213</f>
        <v>16437940.071971539</v>
      </c>
      <c r="AO211" s="37">
        <f t="shared" ref="AO211" si="983">AN213</f>
        <v>16062355.225358678</v>
      </c>
      <c r="AP211" s="37">
        <f t="shared" ref="AP211" si="984">AO213</f>
        <v>15703954.586715005</v>
      </c>
      <c r="AQ211" s="37">
        <f t="shared" ref="AQ211" si="985">AP213</f>
        <v>15335153.480285505</v>
      </c>
      <c r="AR211" s="37">
        <f t="shared" ref="AR211" si="986">AQ213</f>
        <v>14924412.494655</v>
      </c>
      <c r="AS211" s="37">
        <f t="shared" ref="AS211" si="987">AR213</f>
        <v>14537446.895635281</v>
      </c>
      <c r="AT211" s="37">
        <f t="shared" ref="AT211" si="988">AS213</f>
        <v>14147219.327897629</v>
      </c>
      <c r="AU211" s="37">
        <f t="shared" ref="AU211" si="989">AT213</f>
        <v>13686501.260408461</v>
      </c>
      <c r="AV211" s="37">
        <f t="shared" ref="AV211" si="990">AU213</f>
        <v>13262673.921555836</v>
      </c>
      <c r="AW211" s="37">
        <f t="shared" ref="AW211" si="991">AV213</f>
        <v>12825038.098959487</v>
      </c>
      <c r="AX211" s="37">
        <f t="shared" ref="AX211" si="992">AW213</f>
        <v>12311135.85034108</v>
      </c>
      <c r="AY211" s="37">
        <f t="shared" ref="AY211" si="993">AX213</f>
        <v>11837811.356391884</v>
      </c>
      <c r="AZ211" s="37">
        <f t="shared" ref="AZ211" si="994">AY213</f>
        <v>11355662.760936776</v>
      </c>
      <c r="BA211" s="37">
        <f t="shared" ref="BA211" si="995">AZ213</f>
        <v>10773637.609670376</v>
      </c>
      <c r="BB211" s="37">
        <f t="shared" ref="BB211" si="996">BA213</f>
        <v>10254540.646985132</v>
      </c>
      <c r="BC211" s="37">
        <f t="shared" ref="BC211" si="997">BB213</f>
        <v>9718212.6981683578</v>
      </c>
      <c r="BD211" s="37">
        <f t="shared" ref="BD211" si="998">BC213</f>
        <v>9083760.8278675321</v>
      </c>
      <c r="BE211" s="37">
        <f t="shared" ref="BE211" si="999">BD213</f>
        <v>8509185.5850544479</v>
      </c>
      <c r="BF211" s="37">
        <f t="shared" ref="BF211" si="1000">BE213</f>
        <v>7914418.5292636557</v>
      </c>
      <c r="BG211" s="37">
        <f t="shared" ref="BG211" si="1001">BF213</f>
        <v>7182925.8194872346</v>
      </c>
      <c r="BH211" s="37">
        <f t="shared" ref="BH211" si="1002">BG213</f>
        <v>6556361.2472211458</v>
      </c>
      <c r="BI211" s="37">
        <f t="shared" ref="BI211" si="1003">BH213</f>
        <v>5899963.7828731518</v>
      </c>
      <c r="BJ211" s="37">
        <f t="shared" ref="BJ211" si="1004">BI213</f>
        <v>5064574.5498429984</v>
      </c>
      <c r="BK211" s="37">
        <f t="shared" ref="BK211" si="1005">BJ213</f>
        <v>4352297.3171613719</v>
      </c>
      <c r="BL211" s="37">
        <f t="shared" ref="BL211" si="1006">BK213</f>
        <v>3615946.4930337514</v>
      </c>
      <c r="BM211" s="37">
        <f t="shared" ref="BM211" si="1007">BL213</f>
        <v>2651260.3001999701</v>
      </c>
      <c r="BN211" s="37">
        <f t="shared" ref="BN211" si="1008">BM213</f>
        <v>1838306.9566519507</v>
      </c>
    </row>
    <row r="212" spans="3:66" x14ac:dyDescent="0.3">
      <c r="C212" t="s">
        <v>116</v>
      </c>
      <c r="G212" s="27">
        <f>G209</f>
        <v>937624.16666666663</v>
      </c>
      <c r="H212" s="27">
        <f t="shared" ref="H212:M212" si="1009">H209</f>
        <v>-61346.416666666672</v>
      </c>
      <c r="I212" s="27">
        <f t="shared" si="1009"/>
        <v>-60364.599999999991</v>
      </c>
      <c r="J212" s="27">
        <f t="shared" si="1009"/>
        <v>-77566.583333333328</v>
      </c>
      <c r="K212" s="27">
        <f t="shared" si="1009"/>
        <v>-75803.399999999994</v>
      </c>
      <c r="L212" s="27">
        <f t="shared" si="1009"/>
        <v>-74865.216666666674</v>
      </c>
      <c r="M212" s="27">
        <f t="shared" si="1009"/>
        <v>-98609.293333333349</v>
      </c>
      <c r="N212" s="27">
        <f t="shared" ref="N212:Q212" si="1010">N209</f>
        <v>-96001.223333333328</v>
      </c>
      <c r="O212" s="27">
        <f t="shared" si="1010"/>
        <v>-94981.203333333309</v>
      </c>
      <c r="P212" s="27">
        <f t="shared" si="1010"/>
        <v>-131091.79876666667</v>
      </c>
      <c r="Q212" s="27">
        <f t="shared" si="1010"/>
        <v>21271658.513193868</v>
      </c>
      <c r="R212" s="27">
        <f t="shared" ref="R212:AD212" si="1011">R209</f>
        <v>-132040.71776666664</v>
      </c>
      <c r="S212" s="27">
        <f t="shared" si="1011"/>
        <v>-143332.92606299999</v>
      </c>
      <c r="T212" s="27">
        <f t="shared" si="1011"/>
        <v>-137300.50395433337</v>
      </c>
      <c r="U212" s="27">
        <f t="shared" si="1011"/>
        <v>-134492.46705400001</v>
      </c>
      <c r="V212" s="27">
        <f t="shared" si="1011"/>
        <v>-177872.02763128004</v>
      </c>
      <c r="W212" s="27">
        <f t="shared" si="1011"/>
        <v>-169711.03505032</v>
      </c>
      <c r="X212" s="27">
        <f t="shared" si="1011"/>
        <v>-166253.43925061001</v>
      </c>
      <c r="Y212" s="27">
        <f t="shared" si="1011"/>
        <v>-192675.07063700462</v>
      </c>
      <c r="Z212" s="27">
        <f t="shared" si="1011"/>
        <v>-199737.07396961169</v>
      </c>
      <c r="AA212" s="27">
        <f t="shared" si="1011"/>
        <v>-194989.25098185043</v>
      </c>
      <c r="AB212" s="27">
        <f t="shared" si="1011"/>
        <v>-222130.58620480599</v>
      </c>
      <c r="AC212" s="27">
        <f t="shared" si="1011"/>
        <v>-226017.69952526712</v>
      </c>
      <c r="AD212" s="27">
        <f t="shared" si="1011"/>
        <v>-240191.72012567392</v>
      </c>
      <c r="AE212" s="27">
        <f t="shared" ref="AE212:BN212" si="1012">AE209</f>
        <v>-260223.40542175889</v>
      </c>
      <c r="AF212" s="27">
        <f t="shared" si="1012"/>
        <v>-265261.98736464896</v>
      </c>
      <c r="AG212" s="27">
        <f t="shared" si="1012"/>
        <v>-262576.75470092008</v>
      </c>
      <c r="AH212" s="27">
        <f t="shared" si="1012"/>
        <v>-308488.0512490602</v>
      </c>
      <c r="AI212" s="27">
        <f t="shared" si="1012"/>
        <v>-283569.92003201914</v>
      </c>
      <c r="AJ212" s="27">
        <f t="shared" si="1012"/>
        <v>-296088.6721967762</v>
      </c>
      <c r="AK212" s="27">
        <f t="shared" si="1012"/>
        <v>-340856.0944032491</v>
      </c>
      <c r="AL212" s="27">
        <f t="shared" si="1012"/>
        <v>-316041.16595194902</v>
      </c>
      <c r="AM212" s="27">
        <f t="shared" si="1012"/>
        <v>-330862.30292085477</v>
      </c>
      <c r="AN212" s="27">
        <f t="shared" si="1012"/>
        <v>-375584.84661286115</v>
      </c>
      <c r="AO212" s="27">
        <f t="shared" si="1012"/>
        <v>-358400.63864367333</v>
      </c>
      <c r="AP212" s="27">
        <f t="shared" si="1012"/>
        <v>-368801.10642950132</v>
      </c>
      <c r="AQ212" s="27">
        <f t="shared" si="1012"/>
        <v>-410740.98563050438</v>
      </c>
      <c r="AR212" s="27">
        <f t="shared" si="1012"/>
        <v>-386965.59901971836</v>
      </c>
      <c r="AS212" s="27">
        <f t="shared" si="1012"/>
        <v>-390227.5677376517</v>
      </c>
      <c r="AT212" s="27">
        <f t="shared" si="1012"/>
        <v>-460718.06748916721</v>
      </c>
      <c r="AU212" s="27">
        <f t="shared" si="1012"/>
        <v>-423827.33885262499</v>
      </c>
      <c r="AV212" s="27">
        <f t="shared" si="1012"/>
        <v>-437635.82259634964</v>
      </c>
      <c r="AW212" s="27">
        <f t="shared" si="1012"/>
        <v>-513902.24861840752</v>
      </c>
      <c r="AX212" s="27">
        <f t="shared" si="1012"/>
        <v>-473324.49394919502</v>
      </c>
      <c r="AY212" s="27">
        <f t="shared" si="1012"/>
        <v>-482148.59545510879</v>
      </c>
      <c r="AZ212" s="27">
        <f t="shared" si="1012"/>
        <v>-582025.15126639954</v>
      </c>
      <c r="BA212" s="27">
        <f t="shared" si="1012"/>
        <v>-519096.96268524497</v>
      </c>
      <c r="BB212" s="27">
        <f t="shared" si="1012"/>
        <v>-536327.94881677476</v>
      </c>
      <c r="BC212" s="27">
        <f t="shared" si="1012"/>
        <v>-634451.87030082615</v>
      </c>
      <c r="BD212" s="27">
        <f t="shared" si="1012"/>
        <v>-574575.24281308358</v>
      </c>
      <c r="BE212" s="27">
        <f t="shared" si="1012"/>
        <v>-594767.05579079222</v>
      </c>
      <c r="BF212" s="27">
        <f t="shared" si="1012"/>
        <v>-731492.70977642154</v>
      </c>
      <c r="BG212" s="27">
        <f t="shared" si="1012"/>
        <v>-626564.57226608892</v>
      </c>
      <c r="BH212" s="27">
        <f t="shared" si="1012"/>
        <v>-656397.46434799442</v>
      </c>
      <c r="BI212" s="27">
        <f t="shared" si="1012"/>
        <v>-835389.23303015321</v>
      </c>
      <c r="BJ212" s="27">
        <f t="shared" si="1012"/>
        <v>-712277.23268162599</v>
      </c>
      <c r="BK212" s="27">
        <f t="shared" si="1012"/>
        <v>-736350.82412762055</v>
      </c>
      <c r="BL212" s="27">
        <f t="shared" si="1012"/>
        <v>-964686.19283378124</v>
      </c>
      <c r="BM212" s="27">
        <f t="shared" si="1012"/>
        <v>-812953.34354801942</v>
      </c>
      <c r="BN212" s="27">
        <f t="shared" si="1012"/>
        <v>-838306.95665195049</v>
      </c>
    </row>
    <row r="213" spans="3:66" x14ac:dyDescent="0.3">
      <c r="C213" s="44" t="s">
        <v>118</v>
      </c>
      <c r="D213" s="44"/>
      <c r="E213" s="44"/>
      <c r="F213" s="44"/>
      <c r="G213" s="55">
        <f>SUM(G211:G212)</f>
        <v>937624.16666666663</v>
      </c>
      <c r="H213" s="55">
        <f>SUM(H211:H212)</f>
        <v>876277.75</v>
      </c>
      <c r="I213" s="55">
        <f t="shared" ref="I213:M213" si="1013">SUM(I211:I212)</f>
        <v>815913.15</v>
      </c>
      <c r="J213" s="55">
        <f t="shared" si="1013"/>
        <v>738346.56666666665</v>
      </c>
      <c r="K213" s="55">
        <f t="shared" si="1013"/>
        <v>662543.16666666663</v>
      </c>
      <c r="L213" s="55">
        <f t="shared" si="1013"/>
        <v>587677.94999999995</v>
      </c>
      <c r="M213" s="55">
        <f t="shared" si="1013"/>
        <v>489068.65666666662</v>
      </c>
      <c r="N213" s="55">
        <f t="shared" ref="N213" si="1014">SUM(N211:N212)</f>
        <v>393067.43333333329</v>
      </c>
      <c r="O213" s="55">
        <f t="shared" ref="O213" si="1015">SUM(O211:O212)</f>
        <v>298086.23</v>
      </c>
      <c r="P213" s="55">
        <f t="shared" ref="P213" si="1016">SUM(P211:P212)</f>
        <v>166994.43123333331</v>
      </c>
      <c r="Q213" s="55">
        <f t="shared" ref="Q213" si="1017">SUM(Q211:Q212)</f>
        <v>21438652.9444272</v>
      </c>
      <c r="R213" s="55">
        <f t="shared" ref="R213" si="1018">SUM(R211:R212)</f>
        <v>21306612.226660535</v>
      </c>
      <c r="S213" s="55">
        <f t="shared" ref="S213" si="1019">SUM(S211:S212)</f>
        <v>21163279.300597534</v>
      </c>
      <c r="T213" s="55">
        <f t="shared" ref="T213" si="1020">SUM(T211:T212)</f>
        <v>21025978.796643201</v>
      </c>
      <c r="U213" s="55">
        <f t="shared" ref="U213" si="1021">SUM(U211:U212)</f>
        <v>20891486.329589203</v>
      </c>
      <c r="V213" s="55">
        <f t="shared" ref="V213" si="1022">SUM(V211:V212)</f>
        <v>20713614.301957924</v>
      </c>
      <c r="W213" s="55">
        <f t="shared" ref="W213" si="1023">SUM(W211:W212)</f>
        <v>20543903.266907603</v>
      </c>
      <c r="X213" s="55">
        <f t="shared" ref="X213" si="1024">SUM(X211:X212)</f>
        <v>20377649.827656992</v>
      </c>
      <c r="Y213" s="55">
        <f t="shared" ref="Y213" si="1025">SUM(Y211:Y212)</f>
        <v>20184974.757019985</v>
      </c>
      <c r="Z213" s="55">
        <f t="shared" ref="Z213" si="1026">SUM(Z211:Z212)</f>
        <v>19985237.683050375</v>
      </c>
      <c r="AA213" s="55">
        <f t="shared" ref="AA213" si="1027">SUM(AA211:AA212)</f>
        <v>19790248.432068527</v>
      </c>
      <c r="AB213" s="55">
        <f t="shared" ref="AB213" si="1028">SUM(AB211:AB212)</f>
        <v>19568117.845863722</v>
      </c>
      <c r="AC213" s="55">
        <f t="shared" ref="AC213" si="1029">SUM(AC211:AC212)</f>
        <v>19342100.146338455</v>
      </c>
      <c r="AD213" s="55">
        <f t="shared" ref="AD213" si="1030">SUM(AD211:AD212)</f>
        <v>19101908.42621278</v>
      </c>
      <c r="AE213" s="55">
        <f t="shared" ref="AE213:BN213" si="1031">SUM(AE211:AE212)</f>
        <v>18841685.02079102</v>
      </c>
      <c r="AF213" s="55">
        <f t="shared" si="1031"/>
        <v>18576423.03342637</v>
      </c>
      <c r="AG213" s="55">
        <f t="shared" si="1031"/>
        <v>18313846.278725449</v>
      </c>
      <c r="AH213" s="55">
        <f t="shared" si="1031"/>
        <v>18005358.227476388</v>
      </c>
      <c r="AI213" s="55">
        <f t="shared" si="1031"/>
        <v>17721788.307444368</v>
      </c>
      <c r="AJ213" s="55">
        <f t="shared" si="1031"/>
        <v>17425699.635247592</v>
      </c>
      <c r="AK213" s="55">
        <f t="shared" si="1031"/>
        <v>17084843.540844344</v>
      </c>
      <c r="AL213" s="55">
        <f t="shared" si="1031"/>
        <v>16768802.374892395</v>
      </c>
      <c r="AM213" s="55">
        <f t="shared" si="1031"/>
        <v>16437940.071971539</v>
      </c>
      <c r="AN213" s="55">
        <f t="shared" si="1031"/>
        <v>16062355.225358678</v>
      </c>
      <c r="AO213" s="55">
        <f t="shared" si="1031"/>
        <v>15703954.586715005</v>
      </c>
      <c r="AP213" s="55">
        <f t="shared" si="1031"/>
        <v>15335153.480285505</v>
      </c>
      <c r="AQ213" s="55">
        <f t="shared" si="1031"/>
        <v>14924412.494655</v>
      </c>
      <c r="AR213" s="55">
        <f t="shared" si="1031"/>
        <v>14537446.895635281</v>
      </c>
      <c r="AS213" s="55">
        <f t="shared" si="1031"/>
        <v>14147219.327897629</v>
      </c>
      <c r="AT213" s="55">
        <f t="shared" si="1031"/>
        <v>13686501.260408461</v>
      </c>
      <c r="AU213" s="55">
        <f t="shared" si="1031"/>
        <v>13262673.921555836</v>
      </c>
      <c r="AV213" s="55">
        <f t="shared" si="1031"/>
        <v>12825038.098959487</v>
      </c>
      <c r="AW213" s="55">
        <f t="shared" si="1031"/>
        <v>12311135.85034108</v>
      </c>
      <c r="AX213" s="55">
        <f t="shared" si="1031"/>
        <v>11837811.356391884</v>
      </c>
      <c r="AY213" s="55">
        <f t="shared" si="1031"/>
        <v>11355662.760936776</v>
      </c>
      <c r="AZ213" s="55">
        <f t="shared" si="1031"/>
        <v>10773637.609670376</v>
      </c>
      <c r="BA213" s="55">
        <f t="shared" si="1031"/>
        <v>10254540.646985132</v>
      </c>
      <c r="BB213" s="55">
        <f t="shared" si="1031"/>
        <v>9718212.6981683578</v>
      </c>
      <c r="BC213" s="55">
        <f t="shared" si="1031"/>
        <v>9083760.8278675321</v>
      </c>
      <c r="BD213" s="55">
        <f t="shared" si="1031"/>
        <v>8509185.5850544479</v>
      </c>
      <c r="BE213" s="55">
        <f t="shared" si="1031"/>
        <v>7914418.5292636557</v>
      </c>
      <c r="BF213" s="55">
        <f t="shared" si="1031"/>
        <v>7182925.8194872346</v>
      </c>
      <c r="BG213" s="55">
        <f t="shared" si="1031"/>
        <v>6556361.2472211458</v>
      </c>
      <c r="BH213" s="55">
        <f t="shared" si="1031"/>
        <v>5899963.7828731518</v>
      </c>
      <c r="BI213" s="55">
        <f t="shared" si="1031"/>
        <v>5064574.5498429984</v>
      </c>
      <c r="BJ213" s="55">
        <f t="shared" si="1031"/>
        <v>4352297.3171613719</v>
      </c>
      <c r="BK213" s="55">
        <f t="shared" si="1031"/>
        <v>3615946.4930337514</v>
      </c>
      <c r="BL213" s="55">
        <f t="shared" si="1031"/>
        <v>2651260.3001999701</v>
      </c>
      <c r="BM213" s="55">
        <f t="shared" si="1031"/>
        <v>1838306.9566519507</v>
      </c>
      <c r="BN213" s="55">
        <f t="shared" si="1031"/>
        <v>1000000.0000000002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2D41-CA36-4114-9089-861C15946429}">
  <sheetPr>
    <tabColor theme="3" tint="0.79998168889431442"/>
  </sheetPr>
  <dimension ref="A3:BN77"/>
  <sheetViews>
    <sheetView showGridLines="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E69" sqref="A1:XFD1048576"/>
    </sheetView>
  </sheetViews>
  <sheetFormatPr defaultRowHeight="14.4" x14ac:dyDescent="0.3"/>
  <cols>
    <col min="1" max="2" width="3.5546875" customWidth="1"/>
    <col min="3" max="3" width="39.33203125" bestFit="1" customWidth="1"/>
    <col min="4" max="4" width="6.44140625" bestFit="1" customWidth="1"/>
    <col min="5" max="5" width="14.88671875" bestFit="1" customWidth="1"/>
    <col min="6" max="6" width="6.44140625" bestFit="1" customWidth="1"/>
    <col min="7" max="66" width="12.5546875" bestFit="1" customWidth="1"/>
  </cols>
  <sheetData>
    <row r="3" spans="1:66" x14ac:dyDescent="0.3"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x14ac:dyDescent="0.3">
      <c r="C4" s="56"/>
      <c r="D4" s="56"/>
      <c r="E4" s="56"/>
      <c r="F4" s="56"/>
      <c r="G4" s="60">
        <f>YEAR(G6)</f>
        <v>2024</v>
      </c>
      <c r="H4" s="60">
        <f t="shared" ref="H4:AD4" si="0">YEAR(H6)</f>
        <v>2024</v>
      </c>
      <c r="I4" s="60">
        <f t="shared" si="0"/>
        <v>2024</v>
      </c>
      <c r="J4" s="60">
        <f t="shared" si="0"/>
        <v>2024</v>
      </c>
      <c r="K4" s="60">
        <f t="shared" si="0"/>
        <v>2024</v>
      </c>
      <c r="L4" s="60">
        <f t="shared" si="0"/>
        <v>2024</v>
      </c>
      <c r="M4" s="60">
        <f t="shared" si="0"/>
        <v>2024</v>
      </c>
      <c r="N4" s="60">
        <f t="shared" si="0"/>
        <v>2024</v>
      </c>
      <c r="O4" s="60">
        <f t="shared" si="0"/>
        <v>2024</v>
      </c>
      <c r="P4" s="60">
        <f t="shared" si="0"/>
        <v>2024</v>
      </c>
      <c r="Q4" s="60">
        <f t="shared" si="0"/>
        <v>2024</v>
      </c>
      <c r="R4" s="60">
        <f t="shared" si="0"/>
        <v>2024</v>
      </c>
      <c r="S4" s="60">
        <f t="shared" si="0"/>
        <v>2025</v>
      </c>
      <c r="T4" s="60">
        <f t="shared" si="0"/>
        <v>2025</v>
      </c>
      <c r="U4" s="60">
        <f t="shared" si="0"/>
        <v>2025</v>
      </c>
      <c r="V4" s="60">
        <f t="shared" si="0"/>
        <v>2025</v>
      </c>
      <c r="W4" s="60">
        <f t="shared" si="0"/>
        <v>2025</v>
      </c>
      <c r="X4" s="60">
        <f t="shared" si="0"/>
        <v>2025</v>
      </c>
      <c r="Y4" s="60">
        <f t="shared" si="0"/>
        <v>2025</v>
      </c>
      <c r="Z4" s="60">
        <f t="shared" si="0"/>
        <v>2025</v>
      </c>
      <c r="AA4" s="60">
        <f t="shared" si="0"/>
        <v>2025</v>
      </c>
      <c r="AB4" s="60">
        <f t="shared" si="0"/>
        <v>2025</v>
      </c>
      <c r="AC4" s="60">
        <f t="shared" si="0"/>
        <v>2025</v>
      </c>
      <c r="AD4" s="60">
        <f t="shared" si="0"/>
        <v>2025</v>
      </c>
      <c r="AE4" s="60">
        <f t="shared" ref="AE4:BC4" si="1">YEAR(AE6)</f>
        <v>2026</v>
      </c>
      <c r="AF4" s="60">
        <f t="shared" si="1"/>
        <v>2026</v>
      </c>
      <c r="AG4" s="60">
        <f t="shared" si="1"/>
        <v>2026</v>
      </c>
      <c r="AH4" s="60">
        <f t="shared" si="1"/>
        <v>2026</v>
      </c>
      <c r="AI4" s="60">
        <f t="shared" si="1"/>
        <v>2026</v>
      </c>
      <c r="AJ4" s="60">
        <f t="shared" si="1"/>
        <v>2026</v>
      </c>
      <c r="AK4" s="60">
        <f t="shared" si="1"/>
        <v>2026</v>
      </c>
      <c r="AL4" s="60">
        <f t="shared" si="1"/>
        <v>2026</v>
      </c>
      <c r="AM4" s="60">
        <f t="shared" si="1"/>
        <v>2026</v>
      </c>
      <c r="AN4" s="60">
        <f t="shared" si="1"/>
        <v>2026</v>
      </c>
      <c r="AO4" s="60">
        <f t="shared" si="1"/>
        <v>2026</v>
      </c>
      <c r="AP4" s="60">
        <f t="shared" si="1"/>
        <v>2026</v>
      </c>
      <c r="AQ4" s="60">
        <f t="shared" si="1"/>
        <v>2027</v>
      </c>
      <c r="AR4" s="60">
        <f t="shared" si="1"/>
        <v>2027</v>
      </c>
      <c r="AS4" s="60">
        <f t="shared" si="1"/>
        <v>2027</v>
      </c>
      <c r="AT4" s="60">
        <f t="shared" si="1"/>
        <v>2027</v>
      </c>
      <c r="AU4" s="60">
        <f t="shared" si="1"/>
        <v>2027</v>
      </c>
      <c r="AV4" s="60">
        <f t="shared" si="1"/>
        <v>2027</v>
      </c>
      <c r="AW4" s="60">
        <f t="shared" si="1"/>
        <v>2027</v>
      </c>
      <c r="AX4" s="60">
        <f t="shared" si="1"/>
        <v>2027</v>
      </c>
      <c r="AY4" s="60">
        <f t="shared" si="1"/>
        <v>2027</v>
      </c>
      <c r="AZ4" s="60">
        <f t="shared" si="1"/>
        <v>2027</v>
      </c>
      <c r="BA4" s="60">
        <f t="shared" si="1"/>
        <v>2027</v>
      </c>
      <c r="BB4" s="60">
        <f t="shared" si="1"/>
        <v>2027</v>
      </c>
      <c r="BC4" s="60">
        <f t="shared" si="1"/>
        <v>2028</v>
      </c>
      <c r="BD4" s="60">
        <f t="shared" ref="BD4:BI4" si="2">YEAR(BD6)</f>
        <v>2028</v>
      </c>
      <c r="BE4" s="60">
        <f t="shared" si="2"/>
        <v>2028</v>
      </c>
      <c r="BF4" s="60">
        <f t="shared" si="2"/>
        <v>2028</v>
      </c>
      <c r="BG4" s="60">
        <f t="shared" si="2"/>
        <v>2028</v>
      </c>
      <c r="BH4" s="60">
        <f t="shared" si="2"/>
        <v>2028</v>
      </c>
      <c r="BI4" s="60">
        <f t="shared" si="2"/>
        <v>2028</v>
      </c>
      <c r="BJ4" s="60">
        <f t="shared" ref="BJ4:BN4" si="3">YEAR(BJ6)</f>
        <v>2028</v>
      </c>
      <c r="BK4" s="60">
        <f t="shared" si="3"/>
        <v>2028</v>
      </c>
      <c r="BL4" s="60">
        <f t="shared" si="3"/>
        <v>2028</v>
      </c>
      <c r="BM4" s="60">
        <f t="shared" si="3"/>
        <v>2028</v>
      </c>
      <c r="BN4" s="60">
        <f t="shared" si="3"/>
        <v>2028</v>
      </c>
    </row>
    <row r="5" spans="1:66" x14ac:dyDescent="0.3">
      <c r="C5" s="56"/>
      <c r="D5" s="56"/>
      <c r="E5" s="56"/>
      <c r="F5" s="56"/>
      <c r="G5" s="59">
        <f>ROUNDUP(MONTH(G6)/3,0)</f>
        <v>1</v>
      </c>
      <c r="H5" s="59">
        <f t="shared" ref="H5:BN5" si="4">ROUNDUP(MONTH(H6)/3,0)</f>
        <v>1</v>
      </c>
      <c r="I5" s="59">
        <f t="shared" si="4"/>
        <v>1</v>
      </c>
      <c r="J5" s="59">
        <f t="shared" si="4"/>
        <v>2</v>
      </c>
      <c r="K5" s="59">
        <f t="shared" si="4"/>
        <v>2</v>
      </c>
      <c r="L5" s="59">
        <f t="shared" si="4"/>
        <v>2</v>
      </c>
      <c r="M5" s="59">
        <f t="shared" si="4"/>
        <v>3</v>
      </c>
      <c r="N5" s="59">
        <f t="shared" si="4"/>
        <v>3</v>
      </c>
      <c r="O5" s="59">
        <f t="shared" si="4"/>
        <v>3</v>
      </c>
      <c r="P5" s="59">
        <f t="shared" si="4"/>
        <v>4</v>
      </c>
      <c r="Q5" s="59">
        <f t="shared" si="4"/>
        <v>4</v>
      </c>
      <c r="R5" s="59">
        <f t="shared" si="4"/>
        <v>4</v>
      </c>
      <c r="S5" s="59">
        <f t="shared" si="4"/>
        <v>1</v>
      </c>
      <c r="T5" s="59">
        <f t="shared" si="4"/>
        <v>1</v>
      </c>
      <c r="U5" s="59">
        <f t="shared" si="4"/>
        <v>1</v>
      </c>
      <c r="V5" s="59">
        <f t="shared" si="4"/>
        <v>2</v>
      </c>
      <c r="W5" s="59">
        <f t="shared" si="4"/>
        <v>2</v>
      </c>
      <c r="X5" s="59">
        <f t="shared" si="4"/>
        <v>2</v>
      </c>
      <c r="Y5" s="59">
        <f t="shared" si="4"/>
        <v>3</v>
      </c>
      <c r="Z5" s="59">
        <f t="shared" si="4"/>
        <v>3</v>
      </c>
      <c r="AA5" s="59">
        <f t="shared" si="4"/>
        <v>3</v>
      </c>
      <c r="AB5" s="59">
        <f t="shared" si="4"/>
        <v>4</v>
      </c>
      <c r="AC5" s="59">
        <f t="shared" si="4"/>
        <v>4</v>
      </c>
      <c r="AD5" s="59">
        <f t="shared" si="4"/>
        <v>4</v>
      </c>
      <c r="AE5" s="59">
        <f t="shared" si="4"/>
        <v>1</v>
      </c>
      <c r="AF5" s="59">
        <f t="shared" si="4"/>
        <v>1</v>
      </c>
      <c r="AG5" s="59">
        <f t="shared" si="4"/>
        <v>1</v>
      </c>
      <c r="AH5" s="59">
        <f t="shared" si="4"/>
        <v>2</v>
      </c>
      <c r="AI5" s="59">
        <f t="shared" si="4"/>
        <v>2</v>
      </c>
      <c r="AJ5" s="59">
        <f t="shared" si="4"/>
        <v>2</v>
      </c>
      <c r="AK5" s="59">
        <f t="shared" si="4"/>
        <v>3</v>
      </c>
      <c r="AL5" s="59">
        <f t="shared" si="4"/>
        <v>3</v>
      </c>
      <c r="AM5" s="59">
        <f t="shared" si="4"/>
        <v>3</v>
      </c>
      <c r="AN5" s="59">
        <f t="shared" si="4"/>
        <v>4</v>
      </c>
      <c r="AO5" s="59">
        <f t="shared" si="4"/>
        <v>4</v>
      </c>
      <c r="AP5" s="59">
        <f t="shared" si="4"/>
        <v>4</v>
      </c>
      <c r="AQ5" s="59">
        <f t="shared" si="4"/>
        <v>1</v>
      </c>
      <c r="AR5" s="59">
        <f t="shared" si="4"/>
        <v>1</v>
      </c>
      <c r="AS5" s="59">
        <f t="shared" si="4"/>
        <v>1</v>
      </c>
      <c r="AT5" s="59">
        <f t="shared" si="4"/>
        <v>2</v>
      </c>
      <c r="AU5" s="59">
        <f t="shared" si="4"/>
        <v>2</v>
      </c>
      <c r="AV5" s="59">
        <f t="shared" si="4"/>
        <v>2</v>
      </c>
      <c r="AW5" s="59">
        <f t="shared" si="4"/>
        <v>3</v>
      </c>
      <c r="AX5" s="59">
        <f t="shared" si="4"/>
        <v>3</v>
      </c>
      <c r="AY5" s="59">
        <f t="shared" si="4"/>
        <v>3</v>
      </c>
      <c r="AZ5" s="59">
        <f t="shared" si="4"/>
        <v>4</v>
      </c>
      <c r="BA5" s="59">
        <f t="shared" si="4"/>
        <v>4</v>
      </c>
      <c r="BB5" s="59">
        <f t="shared" si="4"/>
        <v>4</v>
      </c>
      <c r="BC5" s="59">
        <f t="shared" si="4"/>
        <v>1</v>
      </c>
      <c r="BD5" s="59">
        <f t="shared" si="4"/>
        <v>1</v>
      </c>
      <c r="BE5" s="59">
        <f t="shared" si="4"/>
        <v>1</v>
      </c>
      <c r="BF5" s="59">
        <f t="shared" si="4"/>
        <v>2</v>
      </c>
      <c r="BG5" s="59">
        <f t="shared" si="4"/>
        <v>2</v>
      </c>
      <c r="BH5" s="59">
        <f t="shared" si="4"/>
        <v>2</v>
      </c>
      <c r="BI5" s="59">
        <f t="shared" si="4"/>
        <v>3</v>
      </c>
      <c r="BJ5" s="59">
        <f t="shared" si="4"/>
        <v>3</v>
      </c>
      <c r="BK5" s="59">
        <f t="shared" si="4"/>
        <v>3</v>
      </c>
      <c r="BL5" s="59">
        <f t="shared" si="4"/>
        <v>4</v>
      </c>
      <c r="BM5" s="59">
        <f t="shared" si="4"/>
        <v>4</v>
      </c>
      <c r="BN5" s="59">
        <f t="shared" si="4"/>
        <v>4</v>
      </c>
    </row>
    <row r="6" spans="1:66" x14ac:dyDescent="0.3">
      <c r="C6" s="56"/>
      <c r="D6" s="56"/>
      <c r="E6" s="56"/>
      <c r="F6" s="56"/>
      <c r="G6" s="61">
        <v>45292</v>
      </c>
      <c r="H6" s="61">
        <f t="shared" ref="H6:BN6" si="5">EDATE($G6,H$7-1)</f>
        <v>45323</v>
      </c>
      <c r="I6" s="61">
        <f t="shared" si="5"/>
        <v>45352</v>
      </c>
      <c r="J6" s="61">
        <f t="shared" si="5"/>
        <v>45383</v>
      </c>
      <c r="K6" s="61">
        <f t="shared" si="5"/>
        <v>45413</v>
      </c>
      <c r="L6" s="61">
        <f t="shared" si="5"/>
        <v>45444</v>
      </c>
      <c r="M6" s="61">
        <f t="shared" si="5"/>
        <v>45474</v>
      </c>
      <c r="N6" s="61">
        <f t="shared" si="5"/>
        <v>45505</v>
      </c>
      <c r="O6" s="61">
        <f t="shared" si="5"/>
        <v>45536</v>
      </c>
      <c r="P6" s="61">
        <f t="shared" si="5"/>
        <v>45566</v>
      </c>
      <c r="Q6" s="61">
        <f t="shared" si="5"/>
        <v>45597</v>
      </c>
      <c r="R6" s="61">
        <f t="shared" si="5"/>
        <v>45627</v>
      </c>
      <c r="S6" s="61">
        <f t="shared" si="5"/>
        <v>45658</v>
      </c>
      <c r="T6" s="61">
        <f t="shared" si="5"/>
        <v>45689</v>
      </c>
      <c r="U6" s="61">
        <f t="shared" si="5"/>
        <v>45717</v>
      </c>
      <c r="V6" s="61">
        <f t="shared" si="5"/>
        <v>45748</v>
      </c>
      <c r="W6" s="61">
        <f t="shared" si="5"/>
        <v>45778</v>
      </c>
      <c r="X6" s="61">
        <f t="shared" si="5"/>
        <v>45809</v>
      </c>
      <c r="Y6" s="61">
        <f t="shared" si="5"/>
        <v>45839</v>
      </c>
      <c r="Z6" s="61">
        <f t="shared" si="5"/>
        <v>45870</v>
      </c>
      <c r="AA6" s="61">
        <f t="shared" si="5"/>
        <v>45901</v>
      </c>
      <c r="AB6" s="61">
        <f t="shared" si="5"/>
        <v>45931</v>
      </c>
      <c r="AC6" s="61">
        <f t="shared" si="5"/>
        <v>45962</v>
      </c>
      <c r="AD6" s="61">
        <f t="shared" si="5"/>
        <v>45992</v>
      </c>
      <c r="AE6" s="61">
        <f t="shared" si="5"/>
        <v>46023</v>
      </c>
      <c r="AF6" s="61">
        <f t="shared" si="5"/>
        <v>46054</v>
      </c>
      <c r="AG6" s="61">
        <f t="shared" si="5"/>
        <v>46082</v>
      </c>
      <c r="AH6" s="61">
        <f t="shared" si="5"/>
        <v>46113</v>
      </c>
      <c r="AI6" s="61">
        <f t="shared" si="5"/>
        <v>46143</v>
      </c>
      <c r="AJ6" s="61">
        <f t="shared" si="5"/>
        <v>46174</v>
      </c>
      <c r="AK6" s="61">
        <f t="shared" si="5"/>
        <v>46204</v>
      </c>
      <c r="AL6" s="61">
        <f t="shared" si="5"/>
        <v>46235</v>
      </c>
      <c r="AM6" s="61">
        <f t="shared" si="5"/>
        <v>46266</v>
      </c>
      <c r="AN6" s="61">
        <f t="shared" si="5"/>
        <v>46296</v>
      </c>
      <c r="AO6" s="61">
        <f t="shared" si="5"/>
        <v>46327</v>
      </c>
      <c r="AP6" s="61">
        <f t="shared" si="5"/>
        <v>46357</v>
      </c>
      <c r="AQ6" s="61">
        <f t="shared" si="5"/>
        <v>46388</v>
      </c>
      <c r="AR6" s="61">
        <f t="shared" si="5"/>
        <v>46419</v>
      </c>
      <c r="AS6" s="61">
        <f t="shared" si="5"/>
        <v>46447</v>
      </c>
      <c r="AT6" s="61">
        <f t="shared" si="5"/>
        <v>46478</v>
      </c>
      <c r="AU6" s="61">
        <f t="shared" si="5"/>
        <v>46508</v>
      </c>
      <c r="AV6" s="61">
        <f t="shared" si="5"/>
        <v>46539</v>
      </c>
      <c r="AW6" s="61">
        <f t="shared" si="5"/>
        <v>46569</v>
      </c>
      <c r="AX6" s="61">
        <f t="shared" si="5"/>
        <v>46600</v>
      </c>
      <c r="AY6" s="61">
        <f t="shared" si="5"/>
        <v>46631</v>
      </c>
      <c r="AZ6" s="61">
        <f t="shared" si="5"/>
        <v>46661</v>
      </c>
      <c r="BA6" s="61">
        <f t="shared" si="5"/>
        <v>46692</v>
      </c>
      <c r="BB6" s="61">
        <f t="shared" si="5"/>
        <v>46722</v>
      </c>
      <c r="BC6" s="61">
        <f t="shared" si="5"/>
        <v>46753</v>
      </c>
      <c r="BD6" s="61">
        <f t="shared" si="5"/>
        <v>46784</v>
      </c>
      <c r="BE6" s="61">
        <f t="shared" si="5"/>
        <v>46813</v>
      </c>
      <c r="BF6" s="61">
        <f t="shared" si="5"/>
        <v>46844</v>
      </c>
      <c r="BG6" s="61">
        <f t="shared" si="5"/>
        <v>46874</v>
      </c>
      <c r="BH6" s="61">
        <f t="shared" si="5"/>
        <v>46905</v>
      </c>
      <c r="BI6" s="61">
        <f t="shared" si="5"/>
        <v>46935</v>
      </c>
      <c r="BJ6" s="61">
        <f t="shared" si="5"/>
        <v>46966</v>
      </c>
      <c r="BK6" s="61">
        <f t="shared" si="5"/>
        <v>46997</v>
      </c>
      <c r="BL6" s="61">
        <f t="shared" si="5"/>
        <v>47027</v>
      </c>
      <c r="BM6" s="61">
        <f t="shared" si="5"/>
        <v>47058</v>
      </c>
      <c r="BN6" s="61">
        <f t="shared" si="5"/>
        <v>47088</v>
      </c>
    </row>
    <row r="7" spans="1:66" x14ac:dyDescent="0.3">
      <c r="C7" s="57"/>
      <c r="D7" s="57"/>
      <c r="E7" s="162" t="s">
        <v>15</v>
      </c>
      <c r="F7" s="57"/>
      <c r="G7" s="58">
        <v>1</v>
      </c>
      <c r="H7" s="58">
        <f>G7+1</f>
        <v>2</v>
      </c>
      <c r="I7" s="58">
        <f t="shared" ref="I7:N7" si="6">H7+1</f>
        <v>3</v>
      </c>
      <c r="J7" s="58">
        <f t="shared" si="6"/>
        <v>4</v>
      </c>
      <c r="K7" s="58">
        <f t="shared" si="6"/>
        <v>5</v>
      </c>
      <c r="L7" s="58">
        <f t="shared" si="6"/>
        <v>6</v>
      </c>
      <c r="M7" s="58">
        <f t="shared" si="6"/>
        <v>7</v>
      </c>
      <c r="N7" s="58">
        <f t="shared" si="6"/>
        <v>8</v>
      </c>
      <c r="O7" s="58">
        <f t="shared" ref="O7:AA7" si="7">N7+1</f>
        <v>9</v>
      </c>
      <c r="P7" s="58">
        <f t="shared" si="7"/>
        <v>10</v>
      </c>
      <c r="Q7" s="58">
        <f t="shared" si="7"/>
        <v>11</v>
      </c>
      <c r="R7" s="58">
        <f t="shared" si="7"/>
        <v>12</v>
      </c>
      <c r="S7" s="58">
        <f t="shared" si="7"/>
        <v>13</v>
      </c>
      <c r="T7" s="58">
        <f t="shared" si="7"/>
        <v>14</v>
      </c>
      <c r="U7" s="58">
        <f t="shared" si="7"/>
        <v>15</v>
      </c>
      <c r="V7" s="58">
        <f t="shared" si="7"/>
        <v>16</v>
      </c>
      <c r="W7" s="58">
        <f t="shared" si="7"/>
        <v>17</v>
      </c>
      <c r="X7" s="58">
        <f t="shared" si="7"/>
        <v>18</v>
      </c>
      <c r="Y7" s="58">
        <f t="shared" si="7"/>
        <v>19</v>
      </c>
      <c r="Z7" s="58">
        <f t="shared" si="7"/>
        <v>20</v>
      </c>
      <c r="AA7" s="58">
        <f t="shared" si="7"/>
        <v>21</v>
      </c>
      <c r="AB7" s="58">
        <f t="shared" ref="AB7:AD7" si="8">AA7+1</f>
        <v>22</v>
      </c>
      <c r="AC7" s="58">
        <f t="shared" si="8"/>
        <v>23</v>
      </c>
      <c r="AD7" s="58">
        <f t="shared" si="8"/>
        <v>24</v>
      </c>
      <c r="AE7" s="58">
        <f t="shared" ref="AE7" si="9">AD7+1</f>
        <v>25</v>
      </c>
      <c r="AF7" s="58">
        <f t="shared" ref="AF7" si="10">AE7+1</f>
        <v>26</v>
      </c>
      <c r="AG7" s="58">
        <f t="shared" ref="AG7" si="11">AF7+1</f>
        <v>27</v>
      </c>
      <c r="AH7" s="58">
        <f t="shared" ref="AH7" si="12">AG7+1</f>
        <v>28</v>
      </c>
      <c r="AI7" s="58">
        <f t="shared" ref="AI7" si="13">AH7+1</f>
        <v>29</v>
      </c>
      <c r="AJ7" s="58">
        <f t="shared" ref="AJ7" si="14">AI7+1</f>
        <v>30</v>
      </c>
      <c r="AK7" s="58">
        <f t="shared" ref="AK7" si="15">AJ7+1</f>
        <v>31</v>
      </c>
      <c r="AL7" s="58">
        <f t="shared" ref="AL7" si="16">AK7+1</f>
        <v>32</v>
      </c>
      <c r="AM7" s="58">
        <f t="shared" ref="AM7" si="17">AL7+1</f>
        <v>33</v>
      </c>
      <c r="AN7" s="58">
        <f t="shared" ref="AN7" si="18">AM7+1</f>
        <v>34</v>
      </c>
      <c r="AO7" s="58">
        <f t="shared" ref="AO7" si="19">AN7+1</f>
        <v>35</v>
      </c>
      <c r="AP7" s="58">
        <f t="shared" ref="AP7" si="20">AO7+1</f>
        <v>36</v>
      </c>
      <c r="AQ7" s="58">
        <f t="shared" ref="AQ7" si="21">AP7+1</f>
        <v>37</v>
      </c>
      <c r="AR7" s="58">
        <f t="shared" ref="AR7" si="22">AQ7+1</f>
        <v>38</v>
      </c>
      <c r="AS7" s="58">
        <f t="shared" ref="AS7" si="23">AR7+1</f>
        <v>39</v>
      </c>
      <c r="AT7" s="58">
        <f t="shared" ref="AT7" si="24">AS7+1</f>
        <v>40</v>
      </c>
      <c r="AU7" s="58">
        <f t="shared" ref="AU7" si="25">AT7+1</f>
        <v>41</v>
      </c>
      <c r="AV7" s="58">
        <f t="shared" ref="AV7" si="26">AU7+1</f>
        <v>42</v>
      </c>
      <c r="AW7" s="58">
        <f t="shared" ref="AW7" si="27">AV7+1</f>
        <v>43</v>
      </c>
      <c r="AX7" s="58">
        <f t="shared" ref="AX7" si="28">AW7+1</f>
        <v>44</v>
      </c>
      <c r="AY7" s="58">
        <f t="shared" ref="AY7" si="29">AX7+1</f>
        <v>45</v>
      </c>
      <c r="AZ7" s="58">
        <f t="shared" ref="AZ7" si="30">AY7+1</f>
        <v>46</v>
      </c>
      <c r="BA7" s="58">
        <f t="shared" ref="BA7" si="31">AZ7+1</f>
        <v>47</v>
      </c>
      <c r="BB7" s="58">
        <f t="shared" ref="BB7" si="32">BA7+1</f>
        <v>48</v>
      </c>
      <c r="BC7" s="58">
        <f t="shared" ref="BC7" si="33">BB7+1</f>
        <v>49</v>
      </c>
      <c r="BD7" s="58">
        <f t="shared" ref="BD7" si="34">BC7+1</f>
        <v>50</v>
      </c>
      <c r="BE7" s="58">
        <f t="shared" ref="BE7" si="35">BD7+1</f>
        <v>51</v>
      </c>
      <c r="BF7" s="58">
        <f t="shared" ref="BF7" si="36">BE7+1</f>
        <v>52</v>
      </c>
      <c r="BG7" s="58">
        <f t="shared" ref="BG7" si="37">BF7+1</f>
        <v>53</v>
      </c>
      <c r="BH7" s="58">
        <f t="shared" ref="BH7" si="38">BG7+1</f>
        <v>54</v>
      </c>
      <c r="BI7" s="58">
        <f t="shared" ref="BI7" si="39">BH7+1</f>
        <v>55</v>
      </c>
      <c r="BJ7" s="58">
        <f t="shared" ref="BJ7" si="40">BI7+1</f>
        <v>56</v>
      </c>
      <c r="BK7" s="58">
        <f t="shared" ref="BK7" si="41">BJ7+1</f>
        <v>57</v>
      </c>
      <c r="BL7" s="58">
        <f t="shared" ref="BL7" si="42">BK7+1</f>
        <v>58</v>
      </c>
      <c r="BM7" s="58">
        <f t="shared" ref="BM7" si="43">BL7+1</f>
        <v>59</v>
      </c>
      <c r="BN7" s="58">
        <f t="shared" ref="BN7" si="44">BM7+1</f>
        <v>60</v>
      </c>
    </row>
    <row r="8" spans="1:66" ht="3" customHeight="1" x14ac:dyDescent="0.3"/>
    <row r="9" spans="1:66" x14ac:dyDescent="0.3">
      <c r="A9" s="22" t="s">
        <v>0</v>
      </c>
      <c r="B9" s="22" t="s">
        <v>0</v>
      </c>
      <c r="C9" s="4" t="s">
        <v>12</v>
      </c>
    </row>
    <row r="10" spans="1:66" ht="3" customHeight="1" x14ac:dyDescent="0.3">
      <c r="B10" s="1"/>
      <c r="C10" s="4"/>
    </row>
    <row r="11" spans="1:66" ht="14.4" customHeight="1" x14ac:dyDescent="0.3">
      <c r="B11" s="22" t="s">
        <v>0</v>
      </c>
      <c r="C11" s="23" t="s">
        <v>16</v>
      </c>
      <c r="E11" s="63"/>
    </row>
    <row r="12" spans="1:66" ht="3" customHeight="1" x14ac:dyDescent="0.3">
      <c r="B12" s="1"/>
      <c r="C12" s="4"/>
    </row>
    <row r="13" spans="1:66" ht="14.4" customHeight="1" x14ac:dyDescent="0.3">
      <c r="B13" s="16"/>
      <c r="C13" t="s">
        <v>22</v>
      </c>
      <c r="E13" s="141">
        <f>Assumptions!E7</f>
        <v>90</v>
      </c>
      <c r="G13" s="27">
        <f>E$13</f>
        <v>90</v>
      </c>
      <c r="H13" s="28">
        <f>ROUND(G13*(1+H14),0)</f>
        <v>99</v>
      </c>
      <c r="I13" s="28">
        <f t="shared" ref="I13:AD13" si="45">ROUND(H13*(1+I14),0)</f>
        <v>109</v>
      </c>
      <c r="J13" s="28">
        <f t="shared" si="45"/>
        <v>120</v>
      </c>
      <c r="K13" s="28">
        <f t="shared" si="45"/>
        <v>132</v>
      </c>
      <c r="L13" s="28">
        <f t="shared" si="45"/>
        <v>145</v>
      </c>
      <c r="M13" s="28">
        <f t="shared" si="45"/>
        <v>160</v>
      </c>
      <c r="N13" s="28">
        <f t="shared" si="45"/>
        <v>176</v>
      </c>
      <c r="O13" s="28">
        <f t="shared" si="45"/>
        <v>194</v>
      </c>
      <c r="P13" s="28">
        <f t="shared" si="45"/>
        <v>213</v>
      </c>
      <c r="Q13" s="28">
        <f t="shared" si="45"/>
        <v>234</v>
      </c>
      <c r="R13" s="28">
        <f t="shared" si="45"/>
        <v>257</v>
      </c>
      <c r="S13" s="28">
        <f t="shared" si="45"/>
        <v>283</v>
      </c>
      <c r="T13" s="28">
        <f t="shared" si="45"/>
        <v>311</v>
      </c>
      <c r="U13" s="28">
        <f t="shared" si="45"/>
        <v>342</v>
      </c>
      <c r="V13" s="28">
        <f t="shared" si="45"/>
        <v>376</v>
      </c>
      <c r="W13" s="28">
        <f t="shared" si="45"/>
        <v>414</v>
      </c>
      <c r="X13" s="28">
        <f t="shared" si="45"/>
        <v>455</v>
      </c>
      <c r="Y13" s="28">
        <f t="shared" si="45"/>
        <v>501</v>
      </c>
      <c r="Z13" s="28">
        <f t="shared" si="45"/>
        <v>551</v>
      </c>
      <c r="AA13" s="28">
        <f t="shared" si="45"/>
        <v>606</v>
      </c>
      <c r="AB13" s="28">
        <f t="shared" si="45"/>
        <v>667</v>
      </c>
      <c r="AC13" s="28">
        <f t="shared" si="45"/>
        <v>734</v>
      </c>
      <c r="AD13" s="28">
        <f t="shared" si="45"/>
        <v>807</v>
      </c>
      <c r="AE13" s="28">
        <f t="shared" ref="AE13" si="46">ROUND(AD13*(1+AE14),0)</f>
        <v>888</v>
      </c>
      <c r="AF13" s="28">
        <f t="shared" ref="AF13" si="47">ROUND(AE13*(1+AF14),0)</f>
        <v>977</v>
      </c>
      <c r="AG13" s="28">
        <f t="shared" ref="AG13" si="48">ROUND(AF13*(1+AG14),0)</f>
        <v>1075</v>
      </c>
      <c r="AH13" s="28">
        <f t="shared" ref="AH13" si="49">ROUND(AG13*(1+AH14),0)</f>
        <v>1183</v>
      </c>
      <c r="AI13" s="28">
        <f t="shared" ref="AI13" si="50">ROUND(AH13*(1+AI14),0)</f>
        <v>1301</v>
      </c>
      <c r="AJ13" s="28">
        <f t="shared" ref="AJ13" si="51">ROUND(AI13*(1+AJ14),0)</f>
        <v>1431</v>
      </c>
      <c r="AK13" s="28">
        <f t="shared" ref="AK13" si="52">ROUND(AJ13*(1+AK14),0)</f>
        <v>1574</v>
      </c>
      <c r="AL13" s="28">
        <f t="shared" ref="AL13" si="53">ROUND(AK13*(1+AL14),0)</f>
        <v>1731</v>
      </c>
      <c r="AM13" s="28">
        <f t="shared" ref="AM13" si="54">ROUND(AL13*(1+AM14),0)</f>
        <v>1904</v>
      </c>
      <c r="AN13" s="28">
        <f t="shared" ref="AN13" si="55">ROUND(AM13*(1+AN14),0)</f>
        <v>2094</v>
      </c>
      <c r="AO13" s="28">
        <f t="shared" ref="AO13" si="56">ROUND(AN13*(1+AO14),0)</f>
        <v>2303</v>
      </c>
      <c r="AP13" s="28">
        <f t="shared" ref="AP13" si="57">ROUND(AO13*(1+AP14),0)</f>
        <v>2533</v>
      </c>
      <c r="AQ13" s="28">
        <f t="shared" ref="AQ13" si="58">ROUND(AP13*(1+AQ14),0)</f>
        <v>2786</v>
      </c>
      <c r="AR13" s="28">
        <f t="shared" ref="AR13" si="59">ROUND(AQ13*(1+AR14),0)</f>
        <v>3065</v>
      </c>
      <c r="AS13" s="28">
        <f t="shared" ref="AS13" si="60">ROUND(AR13*(1+AS14),0)</f>
        <v>3372</v>
      </c>
      <c r="AT13" s="28">
        <f t="shared" ref="AT13" si="61">ROUND(AS13*(1+AT14),0)</f>
        <v>3709</v>
      </c>
      <c r="AU13" s="28">
        <f t="shared" ref="AU13" si="62">ROUND(AT13*(1+AU14),0)</f>
        <v>4080</v>
      </c>
      <c r="AV13" s="28">
        <f t="shared" ref="AV13" si="63">ROUND(AU13*(1+AV14),0)</f>
        <v>4488</v>
      </c>
      <c r="AW13" s="28">
        <f t="shared" ref="AW13" si="64">ROUND(AV13*(1+AW14),0)</f>
        <v>4937</v>
      </c>
      <c r="AX13" s="28">
        <f t="shared" ref="AX13" si="65">ROUND(AW13*(1+AX14),0)</f>
        <v>5431</v>
      </c>
      <c r="AY13" s="28">
        <f t="shared" ref="AY13" si="66">ROUND(AX13*(1+AY14),0)</f>
        <v>5974</v>
      </c>
      <c r="AZ13" s="28">
        <f t="shared" ref="AZ13" si="67">ROUND(AY13*(1+AZ14),0)</f>
        <v>6571</v>
      </c>
      <c r="BA13" s="28">
        <f t="shared" ref="BA13" si="68">ROUND(AZ13*(1+BA14),0)</f>
        <v>7228</v>
      </c>
      <c r="BB13" s="28">
        <f t="shared" ref="BB13" si="69">ROUND(BA13*(1+BB14),0)</f>
        <v>7951</v>
      </c>
      <c r="BC13" s="28">
        <f t="shared" ref="BC13" si="70">ROUND(BB13*(1+BC14),0)</f>
        <v>8746</v>
      </c>
      <c r="BD13" s="28">
        <f t="shared" ref="BD13" si="71">ROUND(BC13*(1+BD14),0)</f>
        <v>9621</v>
      </c>
      <c r="BE13" s="28">
        <f t="shared" ref="BE13" si="72">ROUND(BD13*(1+BE14),0)</f>
        <v>10583</v>
      </c>
      <c r="BF13" s="28">
        <f t="shared" ref="BF13" si="73">ROUND(BE13*(1+BF14),0)</f>
        <v>11641</v>
      </c>
      <c r="BG13" s="28">
        <f t="shared" ref="BG13" si="74">ROUND(BF13*(1+BG14),0)</f>
        <v>12805</v>
      </c>
      <c r="BH13" s="28">
        <f t="shared" ref="BH13" si="75">ROUND(BG13*(1+BH14),0)</f>
        <v>14086</v>
      </c>
      <c r="BI13" s="28">
        <f t="shared" ref="BI13" si="76">ROUND(BH13*(1+BI14),0)</f>
        <v>15495</v>
      </c>
      <c r="BJ13" s="28">
        <f t="shared" ref="BJ13" si="77">ROUND(BI13*(1+BJ14),0)</f>
        <v>17045</v>
      </c>
      <c r="BK13" s="28">
        <f t="shared" ref="BK13" si="78">ROUND(BJ13*(1+BK14),0)</f>
        <v>18750</v>
      </c>
      <c r="BL13" s="28">
        <f t="shared" ref="BL13" si="79">ROUND(BK13*(1+BL14),0)</f>
        <v>20625</v>
      </c>
      <c r="BM13" s="28">
        <f t="shared" ref="BM13" si="80">ROUND(BL13*(1+BM14),0)</f>
        <v>22688</v>
      </c>
      <c r="BN13" s="28">
        <f t="shared" ref="BN13" si="81">ROUND(BM13*(1+BN14),0)</f>
        <v>24957</v>
      </c>
    </row>
    <row r="14" spans="1:66" x14ac:dyDescent="0.3">
      <c r="C14" s="25" t="s">
        <v>19</v>
      </c>
      <c r="E14" s="142">
        <f>Assumptions!E8</f>
        <v>0.1</v>
      </c>
      <c r="H14" s="29">
        <f t="shared" ref="H14:BN14" si="82">$E$14</f>
        <v>0.1</v>
      </c>
      <c r="I14" s="29">
        <f t="shared" si="82"/>
        <v>0.1</v>
      </c>
      <c r="J14" s="29">
        <f t="shared" si="82"/>
        <v>0.1</v>
      </c>
      <c r="K14" s="29">
        <f t="shared" si="82"/>
        <v>0.1</v>
      </c>
      <c r="L14" s="29">
        <f t="shared" si="82"/>
        <v>0.1</v>
      </c>
      <c r="M14" s="29">
        <f t="shared" si="82"/>
        <v>0.1</v>
      </c>
      <c r="N14" s="29">
        <f t="shared" si="82"/>
        <v>0.1</v>
      </c>
      <c r="O14" s="29">
        <f t="shared" si="82"/>
        <v>0.1</v>
      </c>
      <c r="P14" s="29">
        <f t="shared" si="82"/>
        <v>0.1</v>
      </c>
      <c r="Q14" s="29">
        <f t="shared" si="82"/>
        <v>0.1</v>
      </c>
      <c r="R14" s="29">
        <f t="shared" si="82"/>
        <v>0.1</v>
      </c>
      <c r="S14" s="29">
        <f t="shared" si="82"/>
        <v>0.1</v>
      </c>
      <c r="T14" s="29">
        <f t="shared" si="82"/>
        <v>0.1</v>
      </c>
      <c r="U14" s="29">
        <f t="shared" si="82"/>
        <v>0.1</v>
      </c>
      <c r="V14" s="29">
        <f t="shared" si="82"/>
        <v>0.1</v>
      </c>
      <c r="W14" s="29">
        <f t="shared" si="82"/>
        <v>0.1</v>
      </c>
      <c r="X14" s="29">
        <f t="shared" si="82"/>
        <v>0.1</v>
      </c>
      <c r="Y14" s="29">
        <f t="shared" si="82"/>
        <v>0.1</v>
      </c>
      <c r="Z14" s="29">
        <f t="shared" si="82"/>
        <v>0.1</v>
      </c>
      <c r="AA14" s="29">
        <f t="shared" si="82"/>
        <v>0.1</v>
      </c>
      <c r="AB14" s="29">
        <f t="shared" si="82"/>
        <v>0.1</v>
      </c>
      <c r="AC14" s="29">
        <f t="shared" si="82"/>
        <v>0.1</v>
      </c>
      <c r="AD14" s="29">
        <f t="shared" si="82"/>
        <v>0.1</v>
      </c>
      <c r="AE14" s="29">
        <f t="shared" si="82"/>
        <v>0.1</v>
      </c>
      <c r="AF14" s="29">
        <f t="shared" si="82"/>
        <v>0.1</v>
      </c>
      <c r="AG14" s="29">
        <f t="shared" si="82"/>
        <v>0.1</v>
      </c>
      <c r="AH14" s="29">
        <f t="shared" si="82"/>
        <v>0.1</v>
      </c>
      <c r="AI14" s="29">
        <f t="shared" si="82"/>
        <v>0.1</v>
      </c>
      <c r="AJ14" s="29">
        <f t="shared" si="82"/>
        <v>0.1</v>
      </c>
      <c r="AK14" s="29">
        <f t="shared" si="82"/>
        <v>0.1</v>
      </c>
      <c r="AL14" s="29">
        <f t="shared" si="82"/>
        <v>0.1</v>
      </c>
      <c r="AM14" s="29">
        <f t="shared" si="82"/>
        <v>0.1</v>
      </c>
      <c r="AN14" s="29">
        <f t="shared" si="82"/>
        <v>0.1</v>
      </c>
      <c r="AO14" s="29">
        <f t="shared" si="82"/>
        <v>0.1</v>
      </c>
      <c r="AP14" s="29">
        <f t="shared" si="82"/>
        <v>0.1</v>
      </c>
      <c r="AQ14" s="29">
        <f t="shared" si="82"/>
        <v>0.1</v>
      </c>
      <c r="AR14" s="29">
        <f t="shared" si="82"/>
        <v>0.1</v>
      </c>
      <c r="AS14" s="29">
        <f t="shared" si="82"/>
        <v>0.1</v>
      </c>
      <c r="AT14" s="29">
        <f t="shared" si="82"/>
        <v>0.1</v>
      </c>
      <c r="AU14" s="29">
        <f t="shared" si="82"/>
        <v>0.1</v>
      </c>
      <c r="AV14" s="29">
        <f t="shared" si="82"/>
        <v>0.1</v>
      </c>
      <c r="AW14" s="29">
        <f t="shared" si="82"/>
        <v>0.1</v>
      </c>
      <c r="AX14" s="29">
        <f t="shared" si="82"/>
        <v>0.1</v>
      </c>
      <c r="AY14" s="29">
        <f t="shared" si="82"/>
        <v>0.1</v>
      </c>
      <c r="AZ14" s="29">
        <f t="shared" si="82"/>
        <v>0.1</v>
      </c>
      <c r="BA14" s="29">
        <f t="shared" si="82"/>
        <v>0.1</v>
      </c>
      <c r="BB14" s="29">
        <f t="shared" si="82"/>
        <v>0.1</v>
      </c>
      <c r="BC14" s="29">
        <f t="shared" si="82"/>
        <v>0.1</v>
      </c>
      <c r="BD14" s="29">
        <f t="shared" si="82"/>
        <v>0.1</v>
      </c>
      <c r="BE14" s="29">
        <f t="shared" si="82"/>
        <v>0.1</v>
      </c>
      <c r="BF14" s="29">
        <f t="shared" si="82"/>
        <v>0.1</v>
      </c>
      <c r="BG14" s="29">
        <f t="shared" si="82"/>
        <v>0.1</v>
      </c>
      <c r="BH14" s="29">
        <f t="shared" si="82"/>
        <v>0.1</v>
      </c>
      <c r="BI14" s="29">
        <f t="shared" si="82"/>
        <v>0.1</v>
      </c>
      <c r="BJ14" s="29">
        <f t="shared" si="82"/>
        <v>0.1</v>
      </c>
      <c r="BK14" s="29">
        <f t="shared" si="82"/>
        <v>0.1</v>
      </c>
      <c r="BL14" s="29">
        <f t="shared" si="82"/>
        <v>0.1</v>
      </c>
      <c r="BM14" s="29">
        <f t="shared" si="82"/>
        <v>0.1</v>
      </c>
      <c r="BN14" s="29">
        <f t="shared" si="82"/>
        <v>0.1</v>
      </c>
    </row>
    <row r="15" spans="1:66" ht="3" customHeight="1" x14ac:dyDescent="0.3"/>
    <row r="16" spans="1:66" x14ac:dyDescent="0.3">
      <c r="C16" t="s">
        <v>29</v>
      </c>
      <c r="G16" s="27">
        <f>F19</f>
        <v>0</v>
      </c>
      <c r="H16" s="27">
        <f>G19</f>
        <v>90</v>
      </c>
      <c r="I16" s="27">
        <f t="shared" ref="I16:AD16" si="83">H19</f>
        <v>175</v>
      </c>
      <c r="J16" s="27">
        <f t="shared" si="83"/>
        <v>258</v>
      </c>
      <c r="K16" s="27">
        <f t="shared" si="83"/>
        <v>339</v>
      </c>
      <c r="L16" s="27">
        <f t="shared" si="83"/>
        <v>420</v>
      </c>
      <c r="M16" s="27">
        <f t="shared" si="83"/>
        <v>502</v>
      </c>
      <c r="N16" s="27">
        <f t="shared" si="83"/>
        <v>587</v>
      </c>
      <c r="O16" s="27">
        <f t="shared" si="83"/>
        <v>675</v>
      </c>
      <c r="P16" s="27">
        <f t="shared" si="83"/>
        <v>768</v>
      </c>
      <c r="Q16" s="27">
        <f t="shared" si="83"/>
        <v>866</v>
      </c>
      <c r="R16" s="27">
        <f>Q19</f>
        <v>970</v>
      </c>
      <c r="S16" s="27">
        <f t="shared" si="83"/>
        <v>1081</v>
      </c>
      <c r="T16" s="27">
        <f t="shared" si="83"/>
        <v>1202</v>
      </c>
      <c r="U16" s="27">
        <f t="shared" si="83"/>
        <v>1333</v>
      </c>
      <c r="V16" s="27">
        <f t="shared" si="83"/>
        <v>1475</v>
      </c>
      <c r="W16" s="27">
        <f t="shared" si="83"/>
        <v>1630</v>
      </c>
      <c r="X16" s="27">
        <f t="shared" si="83"/>
        <v>1799</v>
      </c>
      <c r="Y16" s="27">
        <f t="shared" si="83"/>
        <v>1984</v>
      </c>
      <c r="Z16" s="27">
        <f t="shared" si="83"/>
        <v>2187</v>
      </c>
      <c r="AA16" s="27">
        <f t="shared" si="83"/>
        <v>2410</v>
      </c>
      <c r="AB16" s="27">
        <f t="shared" si="83"/>
        <v>2654</v>
      </c>
      <c r="AC16" s="27">
        <f t="shared" si="83"/>
        <v>2923</v>
      </c>
      <c r="AD16" s="27">
        <f t="shared" si="83"/>
        <v>3219</v>
      </c>
      <c r="AE16" s="27">
        <f t="shared" ref="AE16" si="84">AD19</f>
        <v>3543</v>
      </c>
      <c r="AF16" s="27">
        <f t="shared" ref="AF16" si="85">AE19</f>
        <v>3900</v>
      </c>
      <c r="AG16" s="27">
        <f t="shared" ref="AG16" si="86">AF19</f>
        <v>4292</v>
      </c>
      <c r="AH16" s="27">
        <f t="shared" ref="AH16" si="87">AG19</f>
        <v>4723</v>
      </c>
      <c r="AI16" s="27">
        <f t="shared" ref="AI16" si="88">AH19</f>
        <v>5198</v>
      </c>
      <c r="AJ16" s="27">
        <f t="shared" ref="AJ16" si="89">AI19</f>
        <v>5719</v>
      </c>
      <c r="AK16" s="27">
        <f t="shared" ref="AK16" si="90">AJ19</f>
        <v>6292</v>
      </c>
      <c r="AL16" s="27">
        <f t="shared" ref="AL16" si="91">AK19</f>
        <v>6922</v>
      </c>
      <c r="AM16" s="27">
        <f t="shared" ref="AM16" si="92">AL19</f>
        <v>7615</v>
      </c>
      <c r="AN16" s="27">
        <f t="shared" ref="AN16" si="93">AM19</f>
        <v>8377</v>
      </c>
      <c r="AO16" s="27">
        <f t="shared" ref="AO16" si="94">AN19</f>
        <v>9214</v>
      </c>
      <c r="AP16" s="27">
        <f t="shared" ref="AP16" si="95">AO19</f>
        <v>10135</v>
      </c>
      <c r="AQ16" s="27">
        <f t="shared" ref="AQ16" si="96">AP19</f>
        <v>11148</v>
      </c>
      <c r="AR16" s="27">
        <f t="shared" ref="AR16" si="97">AQ19</f>
        <v>12262</v>
      </c>
      <c r="AS16" s="27">
        <f t="shared" ref="AS16" si="98">AR19</f>
        <v>13488</v>
      </c>
      <c r="AT16" s="27">
        <f t="shared" ref="AT16" si="99">AS19</f>
        <v>14837</v>
      </c>
      <c r="AU16" s="27">
        <f t="shared" ref="AU16" si="100">AT19</f>
        <v>16320</v>
      </c>
      <c r="AV16" s="27">
        <f t="shared" ref="AV16" si="101">AU19</f>
        <v>17952</v>
      </c>
      <c r="AW16" s="27">
        <f t="shared" ref="AW16" si="102">AV19</f>
        <v>19747</v>
      </c>
      <c r="AX16" s="27">
        <f t="shared" ref="AX16" si="103">AW19</f>
        <v>21722</v>
      </c>
      <c r="AY16" s="27">
        <f t="shared" ref="AY16" si="104">AX19</f>
        <v>23895</v>
      </c>
      <c r="AZ16" s="27">
        <f t="shared" ref="AZ16" si="105">AY19</f>
        <v>26285</v>
      </c>
      <c r="BA16" s="27">
        <f t="shared" ref="BA16" si="106">AZ19</f>
        <v>28913</v>
      </c>
      <c r="BB16" s="27">
        <f t="shared" ref="BB16" si="107">BA19</f>
        <v>31804</v>
      </c>
      <c r="BC16" s="27">
        <f t="shared" ref="BC16" si="108">BB19</f>
        <v>34984</v>
      </c>
      <c r="BD16" s="27">
        <f t="shared" ref="BD16" si="109">BC19</f>
        <v>38482</v>
      </c>
      <c r="BE16" s="27">
        <f t="shared" ref="BE16" si="110">BD19</f>
        <v>42331</v>
      </c>
      <c r="BF16" s="27">
        <f t="shared" ref="BF16" si="111">BE19</f>
        <v>46564</v>
      </c>
      <c r="BG16" s="27">
        <f t="shared" ref="BG16" si="112">BF19</f>
        <v>51220</v>
      </c>
      <c r="BH16" s="27">
        <f t="shared" ref="BH16" si="113">BG19</f>
        <v>56342</v>
      </c>
      <c r="BI16" s="27">
        <f t="shared" ref="BI16" si="114">BH19</f>
        <v>61977</v>
      </c>
      <c r="BJ16" s="27">
        <f t="shared" ref="BJ16" si="115">BI19</f>
        <v>68175</v>
      </c>
      <c r="BK16" s="27">
        <f t="shared" ref="BK16" si="116">BJ19</f>
        <v>74994</v>
      </c>
      <c r="BL16" s="27">
        <f t="shared" ref="BL16" si="117">BK19</f>
        <v>82495</v>
      </c>
      <c r="BM16" s="27">
        <f t="shared" ref="BM16" si="118">BL19</f>
        <v>90746</v>
      </c>
      <c r="BN16" s="27">
        <f t="shared" ref="BN16" si="119">BM19</f>
        <v>99822</v>
      </c>
    </row>
    <row r="17" spans="2:66" x14ac:dyDescent="0.3">
      <c r="C17" s="24" t="s">
        <v>23</v>
      </c>
      <c r="G17" s="27">
        <f>G13</f>
        <v>90</v>
      </c>
      <c r="H17" s="27">
        <f>H13</f>
        <v>99</v>
      </c>
      <c r="I17" s="27">
        <f t="shared" ref="I17:AD17" si="120">I13</f>
        <v>109</v>
      </c>
      <c r="J17" s="27">
        <f t="shared" si="120"/>
        <v>120</v>
      </c>
      <c r="K17" s="27">
        <f t="shared" si="120"/>
        <v>132</v>
      </c>
      <c r="L17" s="27">
        <f t="shared" si="120"/>
        <v>145</v>
      </c>
      <c r="M17" s="27">
        <f t="shared" si="120"/>
        <v>160</v>
      </c>
      <c r="N17" s="27">
        <f t="shared" si="120"/>
        <v>176</v>
      </c>
      <c r="O17" s="27">
        <f t="shared" si="120"/>
        <v>194</v>
      </c>
      <c r="P17" s="27">
        <f t="shared" si="120"/>
        <v>213</v>
      </c>
      <c r="Q17" s="27">
        <f t="shared" si="120"/>
        <v>234</v>
      </c>
      <c r="R17" s="27">
        <f t="shared" si="120"/>
        <v>257</v>
      </c>
      <c r="S17" s="27">
        <f t="shared" si="120"/>
        <v>283</v>
      </c>
      <c r="T17" s="27">
        <f t="shared" si="120"/>
        <v>311</v>
      </c>
      <c r="U17" s="27">
        <f t="shared" si="120"/>
        <v>342</v>
      </c>
      <c r="V17" s="27">
        <f t="shared" si="120"/>
        <v>376</v>
      </c>
      <c r="W17" s="27">
        <f t="shared" si="120"/>
        <v>414</v>
      </c>
      <c r="X17" s="27">
        <f t="shared" si="120"/>
        <v>455</v>
      </c>
      <c r="Y17" s="27">
        <f t="shared" si="120"/>
        <v>501</v>
      </c>
      <c r="Z17" s="27">
        <f t="shared" si="120"/>
        <v>551</v>
      </c>
      <c r="AA17" s="27">
        <f t="shared" si="120"/>
        <v>606</v>
      </c>
      <c r="AB17" s="27">
        <f t="shared" si="120"/>
        <v>667</v>
      </c>
      <c r="AC17" s="27">
        <f t="shared" si="120"/>
        <v>734</v>
      </c>
      <c r="AD17" s="27">
        <f t="shared" si="120"/>
        <v>807</v>
      </c>
      <c r="AE17" s="27">
        <f t="shared" ref="AE17:BC17" si="121">AE13</f>
        <v>888</v>
      </c>
      <c r="AF17" s="27">
        <f t="shared" si="121"/>
        <v>977</v>
      </c>
      <c r="AG17" s="27">
        <f t="shared" si="121"/>
        <v>1075</v>
      </c>
      <c r="AH17" s="27">
        <f t="shared" si="121"/>
        <v>1183</v>
      </c>
      <c r="AI17" s="27">
        <f t="shared" si="121"/>
        <v>1301</v>
      </c>
      <c r="AJ17" s="27">
        <f t="shared" si="121"/>
        <v>1431</v>
      </c>
      <c r="AK17" s="27">
        <f t="shared" si="121"/>
        <v>1574</v>
      </c>
      <c r="AL17" s="27">
        <f t="shared" si="121"/>
        <v>1731</v>
      </c>
      <c r="AM17" s="27">
        <f t="shared" si="121"/>
        <v>1904</v>
      </c>
      <c r="AN17" s="27">
        <f t="shared" si="121"/>
        <v>2094</v>
      </c>
      <c r="AO17" s="27">
        <f t="shared" si="121"/>
        <v>2303</v>
      </c>
      <c r="AP17" s="27">
        <f t="shared" si="121"/>
        <v>2533</v>
      </c>
      <c r="AQ17" s="27">
        <f t="shared" si="121"/>
        <v>2786</v>
      </c>
      <c r="AR17" s="27">
        <f t="shared" si="121"/>
        <v>3065</v>
      </c>
      <c r="AS17" s="27">
        <f t="shared" si="121"/>
        <v>3372</v>
      </c>
      <c r="AT17" s="27">
        <f t="shared" si="121"/>
        <v>3709</v>
      </c>
      <c r="AU17" s="27">
        <f t="shared" si="121"/>
        <v>4080</v>
      </c>
      <c r="AV17" s="27">
        <f t="shared" si="121"/>
        <v>4488</v>
      </c>
      <c r="AW17" s="27">
        <f t="shared" si="121"/>
        <v>4937</v>
      </c>
      <c r="AX17" s="27">
        <f t="shared" si="121"/>
        <v>5431</v>
      </c>
      <c r="AY17" s="27">
        <f t="shared" si="121"/>
        <v>5974</v>
      </c>
      <c r="AZ17" s="27">
        <f t="shared" si="121"/>
        <v>6571</v>
      </c>
      <c r="BA17" s="27">
        <f t="shared" si="121"/>
        <v>7228</v>
      </c>
      <c r="BB17" s="27">
        <f t="shared" si="121"/>
        <v>7951</v>
      </c>
      <c r="BC17" s="27">
        <f t="shared" si="121"/>
        <v>8746</v>
      </c>
      <c r="BD17" s="27">
        <f t="shared" ref="BD17:BI17" si="122">BD13</f>
        <v>9621</v>
      </c>
      <c r="BE17" s="27">
        <f t="shared" si="122"/>
        <v>10583</v>
      </c>
      <c r="BF17" s="27">
        <f t="shared" si="122"/>
        <v>11641</v>
      </c>
      <c r="BG17" s="27">
        <f t="shared" si="122"/>
        <v>12805</v>
      </c>
      <c r="BH17" s="27">
        <f t="shared" si="122"/>
        <v>14086</v>
      </c>
      <c r="BI17" s="27">
        <f t="shared" si="122"/>
        <v>15495</v>
      </c>
      <c r="BJ17" s="27">
        <f t="shared" ref="BJ17:BN17" si="123">BJ13</f>
        <v>17045</v>
      </c>
      <c r="BK17" s="27">
        <f t="shared" si="123"/>
        <v>18750</v>
      </c>
      <c r="BL17" s="27">
        <f t="shared" si="123"/>
        <v>20625</v>
      </c>
      <c r="BM17" s="27">
        <f t="shared" si="123"/>
        <v>22688</v>
      </c>
      <c r="BN17" s="27">
        <f t="shared" si="123"/>
        <v>24957</v>
      </c>
    </row>
    <row r="18" spans="2:66" x14ac:dyDescent="0.3">
      <c r="C18" s="24" t="s">
        <v>24</v>
      </c>
      <c r="E18" s="84">
        <f>Assumptions!E9</f>
        <v>0.85</v>
      </c>
      <c r="G18" s="30">
        <f t="shared" ref="G18:AD18" si="124">-ROUND(G16*(1-$E$18),0)</f>
        <v>0</v>
      </c>
      <c r="H18" s="30">
        <f t="shared" si="124"/>
        <v>-14</v>
      </c>
      <c r="I18" s="30">
        <f t="shared" si="124"/>
        <v>-26</v>
      </c>
      <c r="J18" s="30">
        <f t="shared" si="124"/>
        <v>-39</v>
      </c>
      <c r="K18" s="30">
        <f t="shared" si="124"/>
        <v>-51</v>
      </c>
      <c r="L18" s="30">
        <f t="shared" si="124"/>
        <v>-63</v>
      </c>
      <c r="M18" s="30">
        <f t="shared" si="124"/>
        <v>-75</v>
      </c>
      <c r="N18" s="30">
        <f t="shared" si="124"/>
        <v>-88</v>
      </c>
      <c r="O18" s="30">
        <f t="shared" si="124"/>
        <v>-101</v>
      </c>
      <c r="P18" s="30">
        <f t="shared" si="124"/>
        <v>-115</v>
      </c>
      <c r="Q18" s="30">
        <f t="shared" si="124"/>
        <v>-130</v>
      </c>
      <c r="R18" s="30">
        <f t="shared" si="124"/>
        <v>-146</v>
      </c>
      <c r="S18" s="30">
        <f t="shared" si="124"/>
        <v>-162</v>
      </c>
      <c r="T18" s="30">
        <f t="shared" si="124"/>
        <v>-180</v>
      </c>
      <c r="U18" s="30">
        <f t="shared" si="124"/>
        <v>-200</v>
      </c>
      <c r="V18" s="30">
        <f t="shared" si="124"/>
        <v>-221</v>
      </c>
      <c r="W18" s="30">
        <f t="shared" si="124"/>
        <v>-245</v>
      </c>
      <c r="X18" s="30">
        <f t="shared" si="124"/>
        <v>-270</v>
      </c>
      <c r="Y18" s="30">
        <f t="shared" si="124"/>
        <v>-298</v>
      </c>
      <c r="Z18" s="30">
        <f t="shared" si="124"/>
        <v>-328</v>
      </c>
      <c r="AA18" s="30">
        <f t="shared" si="124"/>
        <v>-362</v>
      </c>
      <c r="AB18" s="30">
        <f t="shared" si="124"/>
        <v>-398</v>
      </c>
      <c r="AC18" s="30">
        <f t="shared" si="124"/>
        <v>-438</v>
      </c>
      <c r="AD18" s="30">
        <f t="shared" si="124"/>
        <v>-483</v>
      </c>
      <c r="AE18" s="30">
        <f t="shared" ref="AE18:BC18" si="125">-ROUND(AE16*(1-$E$18),0)</f>
        <v>-531</v>
      </c>
      <c r="AF18" s="30">
        <f t="shared" si="125"/>
        <v>-585</v>
      </c>
      <c r="AG18" s="30">
        <f t="shared" si="125"/>
        <v>-644</v>
      </c>
      <c r="AH18" s="30">
        <f t="shared" si="125"/>
        <v>-708</v>
      </c>
      <c r="AI18" s="30">
        <f t="shared" si="125"/>
        <v>-780</v>
      </c>
      <c r="AJ18" s="30">
        <f t="shared" si="125"/>
        <v>-858</v>
      </c>
      <c r="AK18" s="30">
        <f t="shared" si="125"/>
        <v>-944</v>
      </c>
      <c r="AL18" s="30">
        <f t="shared" si="125"/>
        <v>-1038</v>
      </c>
      <c r="AM18" s="30">
        <f t="shared" si="125"/>
        <v>-1142</v>
      </c>
      <c r="AN18" s="30">
        <f t="shared" si="125"/>
        <v>-1257</v>
      </c>
      <c r="AO18" s="30">
        <f t="shared" si="125"/>
        <v>-1382</v>
      </c>
      <c r="AP18" s="30">
        <f t="shared" si="125"/>
        <v>-1520</v>
      </c>
      <c r="AQ18" s="30">
        <f t="shared" si="125"/>
        <v>-1672</v>
      </c>
      <c r="AR18" s="30">
        <f t="shared" si="125"/>
        <v>-1839</v>
      </c>
      <c r="AS18" s="30">
        <f t="shared" si="125"/>
        <v>-2023</v>
      </c>
      <c r="AT18" s="30">
        <f t="shared" si="125"/>
        <v>-2226</v>
      </c>
      <c r="AU18" s="30">
        <f t="shared" si="125"/>
        <v>-2448</v>
      </c>
      <c r="AV18" s="30">
        <f t="shared" si="125"/>
        <v>-2693</v>
      </c>
      <c r="AW18" s="30">
        <f t="shared" si="125"/>
        <v>-2962</v>
      </c>
      <c r="AX18" s="30">
        <f t="shared" si="125"/>
        <v>-3258</v>
      </c>
      <c r="AY18" s="30">
        <f t="shared" si="125"/>
        <v>-3584</v>
      </c>
      <c r="AZ18" s="30">
        <f t="shared" si="125"/>
        <v>-3943</v>
      </c>
      <c r="BA18" s="30">
        <f t="shared" si="125"/>
        <v>-4337</v>
      </c>
      <c r="BB18" s="30">
        <f t="shared" si="125"/>
        <v>-4771</v>
      </c>
      <c r="BC18" s="30">
        <f t="shared" si="125"/>
        <v>-5248</v>
      </c>
      <c r="BD18" s="30">
        <f t="shared" ref="BD18:BI18" si="126">-ROUND(BD16*(1-$E$18),0)</f>
        <v>-5772</v>
      </c>
      <c r="BE18" s="30">
        <f t="shared" si="126"/>
        <v>-6350</v>
      </c>
      <c r="BF18" s="30">
        <f t="shared" si="126"/>
        <v>-6985</v>
      </c>
      <c r="BG18" s="30">
        <f t="shared" si="126"/>
        <v>-7683</v>
      </c>
      <c r="BH18" s="30">
        <f t="shared" si="126"/>
        <v>-8451</v>
      </c>
      <c r="BI18" s="30">
        <f t="shared" si="126"/>
        <v>-9297</v>
      </c>
      <c r="BJ18" s="30">
        <f t="shared" ref="BJ18:BN18" si="127">-ROUND(BJ16*(1-$E$18),0)</f>
        <v>-10226</v>
      </c>
      <c r="BK18" s="30">
        <f t="shared" si="127"/>
        <v>-11249</v>
      </c>
      <c r="BL18" s="30">
        <f t="shared" si="127"/>
        <v>-12374</v>
      </c>
      <c r="BM18" s="30">
        <f t="shared" si="127"/>
        <v>-13612</v>
      </c>
      <c r="BN18" s="30">
        <f t="shared" si="127"/>
        <v>-14973</v>
      </c>
    </row>
    <row r="19" spans="2:66" x14ac:dyDescent="0.3">
      <c r="C19" s="31" t="s">
        <v>25</v>
      </c>
      <c r="D19" s="32"/>
      <c r="E19" s="2"/>
      <c r="F19" s="32"/>
      <c r="G19" s="33">
        <f>SUM(G16:G18)</f>
        <v>90</v>
      </c>
      <c r="H19" s="33">
        <f>SUM(H16:H18)</f>
        <v>175</v>
      </c>
      <c r="I19" s="33">
        <f t="shared" ref="I19:AD19" si="128">SUM(I16:I18)</f>
        <v>258</v>
      </c>
      <c r="J19" s="33">
        <f t="shared" si="128"/>
        <v>339</v>
      </c>
      <c r="K19" s="33">
        <f t="shared" si="128"/>
        <v>420</v>
      </c>
      <c r="L19" s="33">
        <f t="shared" si="128"/>
        <v>502</v>
      </c>
      <c r="M19" s="33">
        <f t="shared" si="128"/>
        <v>587</v>
      </c>
      <c r="N19" s="33">
        <f t="shared" si="128"/>
        <v>675</v>
      </c>
      <c r="O19" s="33">
        <f t="shared" si="128"/>
        <v>768</v>
      </c>
      <c r="P19" s="33">
        <f t="shared" si="128"/>
        <v>866</v>
      </c>
      <c r="Q19" s="33">
        <f t="shared" si="128"/>
        <v>970</v>
      </c>
      <c r="R19" s="33">
        <f t="shared" si="128"/>
        <v>1081</v>
      </c>
      <c r="S19" s="33">
        <f t="shared" si="128"/>
        <v>1202</v>
      </c>
      <c r="T19" s="33">
        <f t="shared" si="128"/>
        <v>1333</v>
      </c>
      <c r="U19" s="33">
        <f t="shared" si="128"/>
        <v>1475</v>
      </c>
      <c r="V19" s="33">
        <f t="shared" si="128"/>
        <v>1630</v>
      </c>
      <c r="W19" s="33">
        <f t="shared" si="128"/>
        <v>1799</v>
      </c>
      <c r="X19" s="33">
        <f t="shared" si="128"/>
        <v>1984</v>
      </c>
      <c r="Y19" s="33">
        <f t="shared" si="128"/>
        <v>2187</v>
      </c>
      <c r="Z19" s="33">
        <f t="shared" si="128"/>
        <v>2410</v>
      </c>
      <c r="AA19" s="33">
        <f t="shared" si="128"/>
        <v>2654</v>
      </c>
      <c r="AB19" s="33">
        <f t="shared" si="128"/>
        <v>2923</v>
      </c>
      <c r="AC19" s="33">
        <f t="shared" si="128"/>
        <v>3219</v>
      </c>
      <c r="AD19" s="33">
        <f t="shared" si="128"/>
        <v>3543</v>
      </c>
      <c r="AE19" s="33">
        <f t="shared" ref="AE19:BC19" si="129">SUM(AE16:AE18)</f>
        <v>3900</v>
      </c>
      <c r="AF19" s="33">
        <f t="shared" si="129"/>
        <v>4292</v>
      </c>
      <c r="AG19" s="33">
        <f t="shared" si="129"/>
        <v>4723</v>
      </c>
      <c r="AH19" s="33">
        <f t="shared" si="129"/>
        <v>5198</v>
      </c>
      <c r="AI19" s="33">
        <f t="shared" si="129"/>
        <v>5719</v>
      </c>
      <c r="AJ19" s="33">
        <f t="shared" si="129"/>
        <v>6292</v>
      </c>
      <c r="AK19" s="33">
        <f t="shared" si="129"/>
        <v>6922</v>
      </c>
      <c r="AL19" s="33">
        <f t="shared" si="129"/>
        <v>7615</v>
      </c>
      <c r="AM19" s="33">
        <f t="shared" si="129"/>
        <v>8377</v>
      </c>
      <c r="AN19" s="33">
        <f t="shared" si="129"/>
        <v>9214</v>
      </c>
      <c r="AO19" s="33">
        <f t="shared" si="129"/>
        <v>10135</v>
      </c>
      <c r="AP19" s="33">
        <f t="shared" si="129"/>
        <v>11148</v>
      </c>
      <c r="AQ19" s="33">
        <f t="shared" si="129"/>
        <v>12262</v>
      </c>
      <c r="AR19" s="33">
        <f t="shared" si="129"/>
        <v>13488</v>
      </c>
      <c r="AS19" s="33">
        <f t="shared" si="129"/>
        <v>14837</v>
      </c>
      <c r="AT19" s="33">
        <f t="shared" si="129"/>
        <v>16320</v>
      </c>
      <c r="AU19" s="33">
        <f t="shared" si="129"/>
        <v>17952</v>
      </c>
      <c r="AV19" s="33">
        <f t="shared" si="129"/>
        <v>19747</v>
      </c>
      <c r="AW19" s="33">
        <f t="shared" si="129"/>
        <v>21722</v>
      </c>
      <c r="AX19" s="33">
        <f t="shared" si="129"/>
        <v>23895</v>
      </c>
      <c r="AY19" s="33">
        <f t="shared" si="129"/>
        <v>26285</v>
      </c>
      <c r="AZ19" s="33">
        <f t="shared" si="129"/>
        <v>28913</v>
      </c>
      <c r="BA19" s="33">
        <f t="shared" si="129"/>
        <v>31804</v>
      </c>
      <c r="BB19" s="33">
        <f t="shared" si="129"/>
        <v>34984</v>
      </c>
      <c r="BC19" s="33">
        <f t="shared" si="129"/>
        <v>38482</v>
      </c>
      <c r="BD19" s="33">
        <f t="shared" ref="BD19:BI19" si="130">SUM(BD16:BD18)</f>
        <v>42331</v>
      </c>
      <c r="BE19" s="33">
        <f t="shared" si="130"/>
        <v>46564</v>
      </c>
      <c r="BF19" s="33">
        <f t="shared" si="130"/>
        <v>51220</v>
      </c>
      <c r="BG19" s="33">
        <f t="shared" si="130"/>
        <v>56342</v>
      </c>
      <c r="BH19" s="33">
        <f t="shared" si="130"/>
        <v>61977</v>
      </c>
      <c r="BI19" s="33">
        <f t="shared" si="130"/>
        <v>68175</v>
      </c>
      <c r="BJ19" s="33">
        <f t="shared" ref="BJ19:BN19" si="131">SUM(BJ16:BJ18)</f>
        <v>74994</v>
      </c>
      <c r="BK19" s="33">
        <f t="shared" si="131"/>
        <v>82495</v>
      </c>
      <c r="BL19" s="33">
        <f t="shared" si="131"/>
        <v>90746</v>
      </c>
      <c r="BM19" s="33">
        <f t="shared" si="131"/>
        <v>99822</v>
      </c>
      <c r="BN19" s="33">
        <f t="shared" si="131"/>
        <v>109806</v>
      </c>
    </row>
    <row r="20" spans="2:66" x14ac:dyDescent="0.3">
      <c r="I20" s="28"/>
    </row>
    <row r="21" spans="2:66" x14ac:dyDescent="0.3">
      <c r="B21" s="22" t="s">
        <v>0</v>
      </c>
      <c r="C21" s="23" t="s">
        <v>20</v>
      </c>
      <c r="E21" s="63"/>
    </row>
    <row r="22" spans="2:66" ht="3" customHeight="1" x14ac:dyDescent="0.3"/>
    <row r="23" spans="2:66" x14ac:dyDescent="0.3">
      <c r="C23" t="s">
        <v>38</v>
      </c>
      <c r="E23" s="141">
        <f>Assumptions!E14</f>
        <v>55</v>
      </c>
      <c r="G23" s="27">
        <f>E$23</f>
        <v>55</v>
      </c>
      <c r="H23" s="28">
        <f>ROUND(G23*(1+H24),0)</f>
        <v>59</v>
      </c>
      <c r="I23" s="28">
        <f t="shared" ref="I23:AD23" si="132">ROUND(H23*(1+I24),0)</f>
        <v>63</v>
      </c>
      <c r="J23" s="28">
        <f t="shared" si="132"/>
        <v>67</v>
      </c>
      <c r="K23" s="28">
        <f t="shared" si="132"/>
        <v>72</v>
      </c>
      <c r="L23" s="28">
        <f t="shared" si="132"/>
        <v>77</v>
      </c>
      <c r="M23" s="28">
        <f t="shared" si="132"/>
        <v>82</v>
      </c>
      <c r="N23" s="28">
        <f t="shared" si="132"/>
        <v>88</v>
      </c>
      <c r="O23" s="28">
        <f t="shared" si="132"/>
        <v>94</v>
      </c>
      <c r="P23" s="28">
        <f t="shared" si="132"/>
        <v>101</v>
      </c>
      <c r="Q23" s="28">
        <f t="shared" si="132"/>
        <v>108</v>
      </c>
      <c r="R23" s="28">
        <f t="shared" si="132"/>
        <v>116</v>
      </c>
      <c r="S23" s="28">
        <f t="shared" si="132"/>
        <v>124</v>
      </c>
      <c r="T23" s="28">
        <f t="shared" si="132"/>
        <v>133</v>
      </c>
      <c r="U23" s="28">
        <f t="shared" si="132"/>
        <v>142</v>
      </c>
      <c r="V23" s="28">
        <f t="shared" si="132"/>
        <v>152</v>
      </c>
      <c r="W23" s="28">
        <f t="shared" si="132"/>
        <v>163</v>
      </c>
      <c r="X23" s="28">
        <f t="shared" si="132"/>
        <v>174</v>
      </c>
      <c r="Y23" s="28">
        <f t="shared" si="132"/>
        <v>186</v>
      </c>
      <c r="Z23" s="28">
        <f t="shared" si="132"/>
        <v>199</v>
      </c>
      <c r="AA23" s="28">
        <f t="shared" si="132"/>
        <v>213</v>
      </c>
      <c r="AB23" s="28">
        <f t="shared" si="132"/>
        <v>228</v>
      </c>
      <c r="AC23" s="28">
        <f t="shared" si="132"/>
        <v>244</v>
      </c>
      <c r="AD23" s="28">
        <f t="shared" si="132"/>
        <v>261</v>
      </c>
      <c r="AE23" s="28">
        <f t="shared" ref="AE23" si="133">ROUND(AD23*(1+AE24),0)</f>
        <v>279</v>
      </c>
      <c r="AF23" s="28">
        <f t="shared" ref="AF23" si="134">ROUND(AE23*(1+AF24),0)</f>
        <v>299</v>
      </c>
      <c r="AG23" s="28">
        <f t="shared" ref="AG23" si="135">ROUND(AF23*(1+AG24),0)</f>
        <v>320</v>
      </c>
      <c r="AH23" s="28">
        <f t="shared" ref="AH23" si="136">ROUND(AG23*(1+AH24),0)</f>
        <v>342</v>
      </c>
      <c r="AI23" s="28">
        <f t="shared" ref="AI23" si="137">ROUND(AH23*(1+AI24),0)</f>
        <v>366</v>
      </c>
      <c r="AJ23" s="28">
        <f t="shared" ref="AJ23" si="138">ROUND(AI23*(1+AJ24),0)</f>
        <v>392</v>
      </c>
      <c r="AK23" s="28">
        <f t="shared" ref="AK23" si="139">ROUND(AJ23*(1+AK24),0)</f>
        <v>419</v>
      </c>
      <c r="AL23" s="28">
        <f t="shared" ref="AL23" si="140">ROUND(AK23*(1+AL24),0)</f>
        <v>448</v>
      </c>
      <c r="AM23" s="28">
        <f t="shared" ref="AM23" si="141">ROUND(AL23*(1+AM24),0)</f>
        <v>479</v>
      </c>
      <c r="AN23" s="28">
        <f t="shared" ref="AN23" si="142">ROUND(AM23*(1+AN24),0)</f>
        <v>513</v>
      </c>
      <c r="AO23" s="28">
        <f t="shared" ref="AO23" si="143">ROUND(AN23*(1+AO24),0)</f>
        <v>549</v>
      </c>
      <c r="AP23" s="28">
        <f t="shared" ref="AP23" si="144">ROUND(AO23*(1+AP24),0)</f>
        <v>587</v>
      </c>
      <c r="AQ23" s="28">
        <f t="shared" ref="AQ23" si="145">ROUND(AP23*(1+AQ24),0)</f>
        <v>628</v>
      </c>
      <c r="AR23" s="28">
        <f t="shared" ref="AR23" si="146">ROUND(AQ23*(1+AR24),0)</f>
        <v>672</v>
      </c>
      <c r="AS23" s="28">
        <f t="shared" ref="AS23" si="147">ROUND(AR23*(1+AS24),0)</f>
        <v>719</v>
      </c>
      <c r="AT23" s="28">
        <f t="shared" ref="AT23" si="148">ROUND(AS23*(1+AT24),0)</f>
        <v>769</v>
      </c>
      <c r="AU23" s="28">
        <f t="shared" ref="AU23" si="149">ROUND(AT23*(1+AU24),0)</f>
        <v>823</v>
      </c>
      <c r="AV23" s="28">
        <f t="shared" ref="AV23" si="150">ROUND(AU23*(1+AV24),0)</f>
        <v>881</v>
      </c>
      <c r="AW23" s="28">
        <f t="shared" ref="AW23" si="151">ROUND(AV23*(1+AW24),0)</f>
        <v>943</v>
      </c>
      <c r="AX23" s="28">
        <f t="shared" ref="AX23" si="152">ROUND(AW23*(1+AX24),0)</f>
        <v>1009</v>
      </c>
      <c r="AY23" s="28">
        <f t="shared" ref="AY23" si="153">ROUND(AX23*(1+AY24),0)</f>
        <v>1080</v>
      </c>
      <c r="AZ23" s="28">
        <f t="shared" ref="AZ23" si="154">ROUND(AY23*(1+AZ24),0)</f>
        <v>1156</v>
      </c>
      <c r="BA23" s="28">
        <f t="shared" ref="BA23" si="155">ROUND(AZ23*(1+BA24),0)</f>
        <v>1237</v>
      </c>
      <c r="BB23" s="28">
        <f t="shared" ref="BB23" si="156">ROUND(BA23*(1+BB24),0)</f>
        <v>1324</v>
      </c>
      <c r="BC23" s="28">
        <f t="shared" ref="BC23" si="157">ROUND(BB23*(1+BC24),0)</f>
        <v>1417</v>
      </c>
      <c r="BD23" s="28">
        <f t="shared" ref="BD23" si="158">ROUND(BC23*(1+BD24),0)</f>
        <v>1516</v>
      </c>
      <c r="BE23" s="28">
        <f t="shared" ref="BE23" si="159">ROUND(BD23*(1+BE24),0)</f>
        <v>1622</v>
      </c>
      <c r="BF23" s="28">
        <f t="shared" ref="BF23" si="160">ROUND(BE23*(1+BF24),0)</f>
        <v>1736</v>
      </c>
      <c r="BG23" s="28">
        <f t="shared" ref="BG23" si="161">ROUND(BF23*(1+BG24),0)</f>
        <v>1858</v>
      </c>
      <c r="BH23" s="28">
        <f t="shared" ref="BH23" si="162">ROUND(BG23*(1+BH24),0)</f>
        <v>1988</v>
      </c>
      <c r="BI23" s="28">
        <f t="shared" ref="BI23" si="163">ROUND(BH23*(1+BI24),0)</f>
        <v>2127</v>
      </c>
      <c r="BJ23" s="28">
        <f t="shared" ref="BJ23" si="164">ROUND(BI23*(1+BJ24),0)</f>
        <v>2276</v>
      </c>
      <c r="BK23" s="28">
        <f t="shared" ref="BK23" si="165">ROUND(BJ23*(1+BK24),0)</f>
        <v>2435</v>
      </c>
      <c r="BL23" s="28">
        <f t="shared" ref="BL23" si="166">ROUND(BK23*(1+BL24),0)</f>
        <v>2605</v>
      </c>
      <c r="BM23" s="28">
        <f t="shared" ref="BM23" si="167">ROUND(BL23*(1+BM24),0)</f>
        <v>2787</v>
      </c>
      <c r="BN23" s="28">
        <f t="shared" ref="BN23" si="168">ROUND(BM23*(1+BN24),0)</f>
        <v>2982</v>
      </c>
    </row>
    <row r="24" spans="2:66" x14ac:dyDescent="0.3">
      <c r="C24" s="25" t="s">
        <v>19</v>
      </c>
      <c r="E24" s="142">
        <f>Assumptions!E15</f>
        <v>7.0000000000000007E-2</v>
      </c>
      <c r="H24" s="29">
        <f t="shared" ref="H24:BN24" si="169">$E$24</f>
        <v>7.0000000000000007E-2</v>
      </c>
      <c r="I24" s="29">
        <f t="shared" si="169"/>
        <v>7.0000000000000007E-2</v>
      </c>
      <c r="J24" s="29">
        <f t="shared" si="169"/>
        <v>7.0000000000000007E-2</v>
      </c>
      <c r="K24" s="29">
        <f t="shared" si="169"/>
        <v>7.0000000000000007E-2</v>
      </c>
      <c r="L24" s="29">
        <f t="shared" si="169"/>
        <v>7.0000000000000007E-2</v>
      </c>
      <c r="M24" s="29">
        <f t="shared" si="169"/>
        <v>7.0000000000000007E-2</v>
      </c>
      <c r="N24" s="29">
        <f t="shared" si="169"/>
        <v>7.0000000000000007E-2</v>
      </c>
      <c r="O24" s="29">
        <f t="shared" si="169"/>
        <v>7.0000000000000007E-2</v>
      </c>
      <c r="P24" s="29">
        <f t="shared" si="169"/>
        <v>7.0000000000000007E-2</v>
      </c>
      <c r="Q24" s="29">
        <f t="shared" si="169"/>
        <v>7.0000000000000007E-2</v>
      </c>
      <c r="R24" s="29">
        <f t="shared" si="169"/>
        <v>7.0000000000000007E-2</v>
      </c>
      <c r="S24" s="29">
        <f t="shared" si="169"/>
        <v>7.0000000000000007E-2</v>
      </c>
      <c r="T24" s="29">
        <f t="shared" si="169"/>
        <v>7.0000000000000007E-2</v>
      </c>
      <c r="U24" s="29">
        <f t="shared" si="169"/>
        <v>7.0000000000000007E-2</v>
      </c>
      <c r="V24" s="29">
        <f t="shared" si="169"/>
        <v>7.0000000000000007E-2</v>
      </c>
      <c r="W24" s="29">
        <f t="shared" si="169"/>
        <v>7.0000000000000007E-2</v>
      </c>
      <c r="X24" s="29">
        <f t="shared" si="169"/>
        <v>7.0000000000000007E-2</v>
      </c>
      <c r="Y24" s="29">
        <f t="shared" si="169"/>
        <v>7.0000000000000007E-2</v>
      </c>
      <c r="Z24" s="29">
        <f t="shared" si="169"/>
        <v>7.0000000000000007E-2</v>
      </c>
      <c r="AA24" s="29">
        <f t="shared" si="169"/>
        <v>7.0000000000000007E-2</v>
      </c>
      <c r="AB24" s="29">
        <f t="shared" si="169"/>
        <v>7.0000000000000007E-2</v>
      </c>
      <c r="AC24" s="29">
        <f t="shared" si="169"/>
        <v>7.0000000000000007E-2</v>
      </c>
      <c r="AD24" s="29">
        <f t="shared" si="169"/>
        <v>7.0000000000000007E-2</v>
      </c>
      <c r="AE24" s="29">
        <f t="shared" si="169"/>
        <v>7.0000000000000007E-2</v>
      </c>
      <c r="AF24" s="29">
        <f t="shared" si="169"/>
        <v>7.0000000000000007E-2</v>
      </c>
      <c r="AG24" s="29">
        <f t="shared" si="169"/>
        <v>7.0000000000000007E-2</v>
      </c>
      <c r="AH24" s="29">
        <f t="shared" si="169"/>
        <v>7.0000000000000007E-2</v>
      </c>
      <c r="AI24" s="29">
        <f t="shared" si="169"/>
        <v>7.0000000000000007E-2</v>
      </c>
      <c r="AJ24" s="29">
        <f t="shared" si="169"/>
        <v>7.0000000000000007E-2</v>
      </c>
      <c r="AK24" s="29">
        <f t="shared" si="169"/>
        <v>7.0000000000000007E-2</v>
      </c>
      <c r="AL24" s="29">
        <f t="shared" si="169"/>
        <v>7.0000000000000007E-2</v>
      </c>
      <c r="AM24" s="29">
        <f t="shared" si="169"/>
        <v>7.0000000000000007E-2</v>
      </c>
      <c r="AN24" s="29">
        <f t="shared" si="169"/>
        <v>7.0000000000000007E-2</v>
      </c>
      <c r="AO24" s="29">
        <f t="shared" si="169"/>
        <v>7.0000000000000007E-2</v>
      </c>
      <c r="AP24" s="29">
        <f t="shared" si="169"/>
        <v>7.0000000000000007E-2</v>
      </c>
      <c r="AQ24" s="29">
        <f t="shared" si="169"/>
        <v>7.0000000000000007E-2</v>
      </c>
      <c r="AR24" s="29">
        <f t="shared" si="169"/>
        <v>7.0000000000000007E-2</v>
      </c>
      <c r="AS24" s="29">
        <f t="shared" si="169"/>
        <v>7.0000000000000007E-2</v>
      </c>
      <c r="AT24" s="29">
        <f t="shared" si="169"/>
        <v>7.0000000000000007E-2</v>
      </c>
      <c r="AU24" s="29">
        <f t="shared" si="169"/>
        <v>7.0000000000000007E-2</v>
      </c>
      <c r="AV24" s="29">
        <f t="shared" si="169"/>
        <v>7.0000000000000007E-2</v>
      </c>
      <c r="AW24" s="29">
        <f t="shared" si="169"/>
        <v>7.0000000000000007E-2</v>
      </c>
      <c r="AX24" s="29">
        <f t="shared" si="169"/>
        <v>7.0000000000000007E-2</v>
      </c>
      <c r="AY24" s="29">
        <f t="shared" si="169"/>
        <v>7.0000000000000007E-2</v>
      </c>
      <c r="AZ24" s="29">
        <f t="shared" si="169"/>
        <v>7.0000000000000007E-2</v>
      </c>
      <c r="BA24" s="29">
        <f t="shared" si="169"/>
        <v>7.0000000000000007E-2</v>
      </c>
      <c r="BB24" s="29">
        <f t="shared" si="169"/>
        <v>7.0000000000000007E-2</v>
      </c>
      <c r="BC24" s="29">
        <f t="shared" si="169"/>
        <v>7.0000000000000007E-2</v>
      </c>
      <c r="BD24" s="29">
        <f t="shared" si="169"/>
        <v>7.0000000000000007E-2</v>
      </c>
      <c r="BE24" s="29">
        <f t="shared" si="169"/>
        <v>7.0000000000000007E-2</v>
      </c>
      <c r="BF24" s="29">
        <f t="shared" si="169"/>
        <v>7.0000000000000007E-2</v>
      </c>
      <c r="BG24" s="29">
        <f t="shared" si="169"/>
        <v>7.0000000000000007E-2</v>
      </c>
      <c r="BH24" s="29">
        <f t="shared" si="169"/>
        <v>7.0000000000000007E-2</v>
      </c>
      <c r="BI24" s="29">
        <f t="shared" si="169"/>
        <v>7.0000000000000007E-2</v>
      </c>
      <c r="BJ24" s="29">
        <f t="shared" si="169"/>
        <v>7.0000000000000007E-2</v>
      </c>
      <c r="BK24" s="29">
        <f t="shared" si="169"/>
        <v>7.0000000000000007E-2</v>
      </c>
      <c r="BL24" s="29">
        <f t="shared" si="169"/>
        <v>7.0000000000000007E-2</v>
      </c>
      <c r="BM24" s="29">
        <f t="shared" si="169"/>
        <v>7.0000000000000007E-2</v>
      </c>
      <c r="BN24" s="29">
        <f t="shared" si="169"/>
        <v>7.0000000000000007E-2</v>
      </c>
    </row>
    <row r="25" spans="2:66" ht="3" customHeight="1" x14ac:dyDescent="0.3"/>
    <row r="26" spans="2:66" x14ac:dyDescent="0.3">
      <c r="C26" t="s">
        <v>29</v>
      </c>
      <c r="G26" s="27">
        <f>F29</f>
        <v>0</v>
      </c>
      <c r="H26" s="27">
        <f>G29</f>
        <v>55</v>
      </c>
      <c r="I26" s="27">
        <f t="shared" ref="I26:S26" si="170">H29</f>
        <v>114</v>
      </c>
      <c r="J26" s="27">
        <f t="shared" si="170"/>
        <v>177</v>
      </c>
      <c r="K26" s="27">
        <f t="shared" si="170"/>
        <v>244</v>
      </c>
      <c r="L26" s="27">
        <f t="shared" si="170"/>
        <v>316</v>
      </c>
      <c r="M26" s="27">
        <f t="shared" si="170"/>
        <v>393</v>
      </c>
      <c r="N26" s="27">
        <f t="shared" si="170"/>
        <v>475</v>
      </c>
      <c r="O26" s="27">
        <f t="shared" si="170"/>
        <v>563</v>
      </c>
      <c r="P26" s="27">
        <f t="shared" si="170"/>
        <v>657</v>
      </c>
      <c r="Q26" s="27">
        <f t="shared" si="170"/>
        <v>758</v>
      </c>
      <c r="R26" s="27">
        <f t="shared" si="170"/>
        <v>866</v>
      </c>
      <c r="S26" s="27">
        <f t="shared" si="170"/>
        <v>982</v>
      </c>
      <c r="T26" s="27">
        <f t="shared" ref="T26:AD26" si="171">S29</f>
        <v>1087</v>
      </c>
      <c r="U26" s="27">
        <f t="shared" si="171"/>
        <v>1199</v>
      </c>
      <c r="V26" s="27">
        <f t="shared" si="171"/>
        <v>1319</v>
      </c>
      <c r="W26" s="27">
        <f t="shared" si="171"/>
        <v>1448</v>
      </c>
      <c r="X26" s="27">
        <f t="shared" si="171"/>
        <v>1586</v>
      </c>
      <c r="Y26" s="27">
        <f t="shared" si="171"/>
        <v>1733</v>
      </c>
      <c r="Z26" s="27">
        <f t="shared" si="171"/>
        <v>1890</v>
      </c>
      <c r="AA26" s="27">
        <f t="shared" si="171"/>
        <v>2058</v>
      </c>
      <c r="AB26" s="27">
        <f t="shared" si="171"/>
        <v>2238</v>
      </c>
      <c r="AC26" s="27">
        <f t="shared" si="171"/>
        <v>2431</v>
      </c>
      <c r="AD26" s="27">
        <f t="shared" si="171"/>
        <v>2637</v>
      </c>
      <c r="AE26" s="27">
        <f t="shared" ref="AE26" si="172">AD29</f>
        <v>2857</v>
      </c>
      <c r="AF26" s="27">
        <f t="shared" ref="AF26" si="173">AE29</f>
        <v>3093</v>
      </c>
      <c r="AG26" s="27">
        <f t="shared" ref="AG26" si="174">AF29</f>
        <v>3345</v>
      </c>
      <c r="AH26" s="27">
        <f t="shared" ref="AH26" si="175">AG29</f>
        <v>3615</v>
      </c>
      <c r="AI26" s="27">
        <f t="shared" ref="AI26" si="176">AH29</f>
        <v>3904</v>
      </c>
      <c r="AJ26" s="27">
        <f t="shared" ref="AJ26" si="177">AI29</f>
        <v>4213</v>
      </c>
      <c r="AK26" s="27">
        <f t="shared" ref="AK26" si="178">AJ29</f>
        <v>4544</v>
      </c>
      <c r="AL26" s="27">
        <f t="shared" ref="AL26" si="179">AK29</f>
        <v>4898</v>
      </c>
      <c r="AM26" s="27">
        <f t="shared" ref="AM26" si="180">AL29</f>
        <v>5276</v>
      </c>
      <c r="AN26" s="27">
        <f t="shared" ref="AN26" si="181">AM29</f>
        <v>5680</v>
      </c>
      <c r="AO26" s="27">
        <f t="shared" ref="AO26" si="182">AN29</f>
        <v>6113</v>
      </c>
      <c r="AP26" s="27">
        <f t="shared" ref="AP26" si="183">AO29</f>
        <v>6577</v>
      </c>
      <c r="AQ26" s="27">
        <f t="shared" ref="AQ26" si="184">AP29</f>
        <v>7073</v>
      </c>
      <c r="AR26" s="27">
        <f t="shared" ref="AR26" si="185">AQ29</f>
        <v>7603</v>
      </c>
      <c r="AS26" s="27">
        <f t="shared" ref="AS26" si="186">AR29</f>
        <v>8170</v>
      </c>
      <c r="AT26" s="27">
        <f t="shared" ref="AT26" si="187">AS29</f>
        <v>8777</v>
      </c>
      <c r="AU26" s="27">
        <f t="shared" ref="AU26" si="188">AT29</f>
        <v>9426</v>
      </c>
      <c r="AV26" s="27">
        <f t="shared" ref="AV26" si="189">AU29</f>
        <v>10121</v>
      </c>
      <c r="AW26" s="27">
        <f t="shared" ref="AW26" si="190">AV29</f>
        <v>10865</v>
      </c>
      <c r="AX26" s="27">
        <f t="shared" ref="AX26" si="191">AW29</f>
        <v>11661</v>
      </c>
      <c r="AY26" s="27">
        <f t="shared" ref="AY26" si="192">AX29</f>
        <v>12513</v>
      </c>
      <c r="AZ26" s="27">
        <f t="shared" ref="AZ26" si="193">AY29</f>
        <v>13425</v>
      </c>
      <c r="BA26" s="27">
        <f t="shared" ref="BA26" si="194">AZ29</f>
        <v>14401</v>
      </c>
      <c r="BB26" s="27">
        <f t="shared" ref="BB26" si="195">BA29</f>
        <v>15446</v>
      </c>
      <c r="BC26" s="27">
        <f t="shared" ref="BC26" si="196">BB29</f>
        <v>16565</v>
      </c>
      <c r="BD26" s="27">
        <f t="shared" ref="BD26" si="197">BC29</f>
        <v>17762</v>
      </c>
      <c r="BE26" s="27">
        <f t="shared" ref="BE26" si="198">BD29</f>
        <v>19043</v>
      </c>
      <c r="BF26" s="27">
        <f t="shared" ref="BF26" si="199">BE29</f>
        <v>20413</v>
      </c>
      <c r="BG26" s="27">
        <f t="shared" ref="BG26" si="200">BF29</f>
        <v>21880</v>
      </c>
      <c r="BH26" s="27">
        <f t="shared" ref="BH26" si="201">BG29</f>
        <v>23450</v>
      </c>
      <c r="BI26" s="27">
        <f t="shared" ref="BI26" si="202">BH29</f>
        <v>25130</v>
      </c>
      <c r="BJ26" s="27">
        <f t="shared" ref="BJ26" si="203">BI29</f>
        <v>26927</v>
      </c>
      <c r="BK26" s="27">
        <f t="shared" ref="BK26" si="204">BJ29</f>
        <v>28850</v>
      </c>
      <c r="BL26" s="27">
        <f t="shared" ref="BL26" si="205">BK29</f>
        <v>30907</v>
      </c>
      <c r="BM26" s="27">
        <f t="shared" ref="BM26" si="206">BL29</f>
        <v>33107</v>
      </c>
      <c r="BN26" s="27">
        <f t="shared" ref="BN26" si="207">BM29</f>
        <v>35461</v>
      </c>
    </row>
    <row r="27" spans="2:66" x14ac:dyDescent="0.3">
      <c r="C27" s="24" t="s">
        <v>23</v>
      </c>
      <c r="G27" s="27">
        <f>G23</f>
        <v>55</v>
      </c>
      <c r="H27" s="27">
        <f>H23</f>
        <v>59</v>
      </c>
      <c r="I27" s="27">
        <f t="shared" ref="I27:S27" si="208">I23</f>
        <v>63</v>
      </c>
      <c r="J27" s="27">
        <f t="shared" si="208"/>
        <v>67</v>
      </c>
      <c r="K27" s="27">
        <f t="shared" si="208"/>
        <v>72</v>
      </c>
      <c r="L27" s="27">
        <f t="shared" si="208"/>
        <v>77</v>
      </c>
      <c r="M27" s="27">
        <f t="shared" si="208"/>
        <v>82</v>
      </c>
      <c r="N27" s="27">
        <f t="shared" si="208"/>
        <v>88</v>
      </c>
      <c r="O27" s="27">
        <f t="shared" si="208"/>
        <v>94</v>
      </c>
      <c r="P27" s="27">
        <f t="shared" si="208"/>
        <v>101</v>
      </c>
      <c r="Q27" s="27">
        <f t="shared" si="208"/>
        <v>108</v>
      </c>
      <c r="R27" s="27">
        <f t="shared" si="208"/>
        <v>116</v>
      </c>
      <c r="S27" s="27">
        <f t="shared" si="208"/>
        <v>124</v>
      </c>
      <c r="T27" s="27">
        <f t="shared" ref="T27:AD27" si="209">T23</f>
        <v>133</v>
      </c>
      <c r="U27" s="27">
        <f t="shared" si="209"/>
        <v>142</v>
      </c>
      <c r="V27" s="27">
        <f t="shared" si="209"/>
        <v>152</v>
      </c>
      <c r="W27" s="27">
        <f t="shared" si="209"/>
        <v>163</v>
      </c>
      <c r="X27" s="27">
        <f t="shared" si="209"/>
        <v>174</v>
      </c>
      <c r="Y27" s="27">
        <f t="shared" si="209"/>
        <v>186</v>
      </c>
      <c r="Z27" s="27">
        <f t="shared" si="209"/>
        <v>199</v>
      </c>
      <c r="AA27" s="27">
        <f t="shared" si="209"/>
        <v>213</v>
      </c>
      <c r="AB27" s="27">
        <f t="shared" si="209"/>
        <v>228</v>
      </c>
      <c r="AC27" s="27">
        <f t="shared" si="209"/>
        <v>244</v>
      </c>
      <c r="AD27" s="27">
        <f t="shared" si="209"/>
        <v>261</v>
      </c>
      <c r="AE27" s="27">
        <f t="shared" ref="AE27:BC27" si="210">AE23</f>
        <v>279</v>
      </c>
      <c r="AF27" s="27">
        <f t="shared" si="210"/>
        <v>299</v>
      </c>
      <c r="AG27" s="27">
        <f t="shared" si="210"/>
        <v>320</v>
      </c>
      <c r="AH27" s="27">
        <f t="shared" si="210"/>
        <v>342</v>
      </c>
      <c r="AI27" s="27">
        <f t="shared" si="210"/>
        <v>366</v>
      </c>
      <c r="AJ27" s="27">
        <f t="shared" si="210"/>
        <v>392</v>
      </c>
      <c r="AK27" s="27">
        <f t="shared" si="210"/>
        <v>419</v>
      </c>
      <c r="AL27" s="27">
        <f t="shared" si="210"/>
        <v>448</v>
      </c>
      <c r="AM27" s="27">
        <f t="shared" si="210"/>
        <v>479</v>
      </c>
      <c r="AN27" s="27">
        <f t="shared" si="210"/>
        <v>513</v>
      </c>
      <c r="AO27" s="27">
        <f t="shared" si="210"/>
        <v>549</v>
      </c>
      <c r="AP27" s="27">
        <f t="shared" si="210"/>
        <v>587</v>
      </c>
      <c r="AQ27" s="27">
        <f t="shared" si="210"/>
        <v>628</v>
      </c>
      <c r="AR27" s="27">
        <f t="shared" si="210"/>
        <v>672</v>
      </c>
      <c r="AS27" s="27">
        <f t="shared" si="210"/>
        <v>719</v>
      </c>
      <c r="AT27" s="27">
        <f t="shared" si="210"/>
        <v>769</v>
      </c>
      <c r="AU27" s="27">
        <f t="shared" si="210"/>
        <v>823</v>
      </c>
      <c r="AV27" s="27">
        <f t="shared" si="210"/>
        <v>881</v>
      </c>
      <c r="AW27" s="27">
        <f t="shared" si="210"/>
        <v>943</v>
      </c>
      <c r="AX27" s="27">
        <f t="shared" si="210"/>
        <v>1009</v>
      </c>
      <c r="AY27" s="27">
        <f t="shared" si="210"/>
        <v>1080</v>
      </c>
      <c r="AZ27" s="27">
        <f t="shared" si="210"/>
        <v>1156</v>
      </c>
      <c r="BA27" s="27">
        <f t="shared" si="210"/>
        <v>1237</v>
      </c>
      <c r="BB27" s="27">
        <f t="shared" si="210"/>
        <v>1324</v>
      </c>
      <c r="BC27" s="27">
        <f t="shared" si="210"/>
        <v>1417</v>
      </c>
      <c r="BD27" s="27">
        <f t="shared" ref="BD27:BI27" si="211">BD23</f>
        <v>1516</v>
      </c>
      <c r="BE27" s="27">
        <f t="shared" si="211"/>
        <v>1622</v>
      </c>
      <c r="BF27" s="27">
        <f t="shared" si="211"/>
        <v>1736</v>
      </c>
      <c r="BG27" s="27">
        <f t="shared" si="211"/>
        <v>1858</v>
      </c>
      <c r="BH27" s="27">
        <f t="shared" si="211"/>
        <v>1988</v>
      </c>
      <c r="BI27" s="27">
        <f t="shared" si="211"/>
        <v>2127</v>
      </c>
      <c r="BJ27" s="27">
        <f t="shared" ref="BJ27:BN27" si="212">BJ23</f>
        <v>2276</v>
      </c>
      <c r="BK27" s="27">
        <f t="shared" si="212"/>
        <v>2435</v>
      </c>
      <c r="BL27" s="27">
        <f t="shared" si="212"/>
        <v>2605</v>
      </c>
      <c r="BM27" s="27">
        <f t="shared" si="212"/>
        <v>2787</v>
      </c>
      <c r="BN27" s="27">
        <f t="shared" si="212"/>
        <v>2982</v>
      </c>
    </row>
    <row r="28" spans="2:66" x14ac:dyDescent="0.3">
      <c r="C28" s="24" t="s">
        <v>24</v>
      </c>
      <c r="E28" s="142">
        <f>Assumptions!E16</f>
        <v>0.65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30">
        <f t="shared" ref="S28:AD28" si="213">-ROUND(G$23*(1-$E$28),0)</f>
        <v>-19</v>
      </c>
      <c r="T28" s="30">
        <f t="shared" si="213"/>
        <v>-21</v>
      </c>
      <c r="U28" s="30">
        <f t="shared" si="213"/>
        <v>-22</v>
      </c>
      <c r="V28" s="30">
        <f t="shared" si="213"/>
        <v>-23</v>
      </c>
      <c r="W28" s="30">
        <f t="shared" si="213"/>
        <v>-25</v>
      </c>
      <c r="X28" s="30">
        <f t="shared" si="213"/>
        <v>-27</v>
      </c>
      <c r="Y28" s="30">
        <f t="shared" si="213"/>
        <v>-29</v>
      </c>
      <c r="Z28" s="30">
        <f t="shared" si="213"/>
        <v>-31</v>
      </c>
      <c r="AA28" s="30">
        <f t="shared" si="213"/>
        <v>-33</v>
      </c>
      <c r="AB28" s="30">
        <f t="shared" si="213"/>
        <v>-35</v>
      </c>
      <c r="AC28" s="30">
        <f t="shared" si="213"/>
        <v>-38</v>
      </c>
      <c r="AD28" s="30">
        <f t="shared" si="213"/>
        <v>-41</v>
      </c>
      <c r="AE28" s="30">
        <f t="shared" ref="AE28" si="214">-ROUND(S$23*(1-$E$28),0)</f>
        <v>-43</v>
      </c>
      <c r="AF28" s="30">
        <f t="shared" ref="AF28" si="215">-ROUND(T$23*(1-$E$28),0)</f>
        <v>-47</v>
      </c>
      <c r="AG28" s="30">
        <f t="shared" ref="AG28" si="216">-ROUND(U$23*(1-$E$28),0)</f>
        <v>-50</v>
      </c>
      <c r="AH28" s="30">
        <f t="shared" ref="AH28" si="217">-ROUND(V$23*(1-$E$28),0)</f>
        <v>-53</v>
      </c>
      <c r="AI28" s="30">
        <f t="shared" ref="AI28" si="218">-ROUND(W$23*(1-$E$28),0)</f>
        <v>-57</v>
      </c>
      <c r="AJ28" s="30">
        <f t="shared" ref="AJ28" si="219">-ROUND(X$23*(1-$E$28),0)</f>
        <v>-61</v>
      </c>
      <c r="AK28" s="30">
        <f t="shared" ref="AK28" si="220">-ROUND(Y$23*(1-$E$28),0)</f>
        <v>-65</v>
      </c>
      <c r="AL28" s="30">
        <f t="shared" ref="AL28" si="221">-ROUND(Z$23*(1-$E$28),0)</f>
        <v>-70</v>
      </c>
      <c r="AM28" s="30">
        <f t="shared" ref="AM28" si="222">-ROUND(AA$23*(1-$E$28),0)</f>
        <v>-75</v>
      </c>
      <c r="AN28" s="30">
        <f t="shared" ref="AN28" si="223">-ROUND(AB$23*(1-$E$28),0)</f>
        <v>-80</v>
      </c>
      <c r="AO28" s="30">
        <f t="shared" ref="AO28" si="224">-ROUND(AC$23*(1-$E$28),0)</f>
        <v>-85</v>
      </c>
      <c r="AP28" s="30">
        <f t="shared" ref="AP28" si="225">-ROUND(AD$23*(1-$E$28),0)</f>
        <v>-91</v>
      </c>
      <c r="AQ28" s="30">
        <f t="shared" ref="AQ28" si="226">-ROUND(AE$23*(1-$E$28),0)</f>
        <v>-98</v>
      </c>
      <c r="AR28" s="30">
        <f t="shared" ref="AR28" si="227">-ROUND(AF$23*(1-$E$28),0)</f>
        <v>-105</v>
      </c>
      <c r="AS28" s="30">
        <f t="shared" ref="AS28" si="228">-ROUND(AG$23*(1-$E$28),0)</f>
        <v>-112</v>
      </c>
      <c r="AT28" s="30">
        <f t="shared" ref="AT28" si="229">-ROUND(AH$23*(1-$E$28),0)</f>
        <v>-120</v>
      </c>
      <c r="AU28" s="30">
        <f t="shared" ref="AU28" si="230">-ROUND(AI$23*(1-$E$28),0)</f>
        <v>-128</v>
      </c>
      <c r="AV28" s="30">
        <f t="shared" ref="AV28" si="231">-ROUND(AJ$23*(1-$E$28),0)</f>
        <v>-137</v>
      </c>
      <c r="AW28" s="30">
        <f t="shared" ref="AW28" si="232">-ROUND(AK$23*(1-$E$28),0)</f>
        <v>-147</v>
      </c>
      <c r="AX28" s="30">
        <f t="shared" ref="AX28" si="233">-ROUND(AL$23*(1-$E$28),0)</f>
        <v>-157</v>
      </c>
      <c r="AY28" s="30">
        <f t="shared" ref="AY28" si="234">-ROUND(AM$23*(1-$E$28),0)</f>
        <v>-168</v>
      </c>
      <c r="AZ28" s="30">
        <f t="shared" ref="AZ28" si="235">-ROUND(AN$23*(1-$E$28),0)</f>
        <v>-180</v>
      </c>
      <c r="BA28" s="30">
        <f t="shared" ref="BA28" si="236">-ROUND(AO$23*(1-$E$28),0)</f>
        <v>-192</v>
      </c>
      <c r="BB28" s="30">
        <f t="shared" ref="BB28" si="237">-ROUND(AP$23*(1-$E$28),0)</f>
        <v>-205</v>
      </c>
      <c r="BC28" s="30">
        <f t="shared" ref="BC28" si="238">-ROUND(AQ$23*(1-$E$28),0)</f>
        <v>-220</v>
      </c>
      <c r="BD28" s="30">
        <f t="shared" ref="BD28" si="239">-ROUND(AR$23*(1-$E$28),0)</f>
        <v>-235</v>
      </c>
      <c r="BE28" s="30">
        <f t="shared" ref="BE28" si="240">-ROUND(AS$23*(1-$E$28),0)</f>
        <v>-252</v>
      </c>
      <c r="BF28" s="30">
        <f t="shared" ref="BF28" si="241">-ROUND(AT$23*(1-$E$28),0)</f>
        <v>-269</v>
      </c>
      <c r="BG28" s="30">
        <f t="shared" ref="BG28" si="242">-ROUND(AU$23*(1-$E$28),0)</f>
        <v>-288</v>
      </c>
      <c r="BH28" s="30">
        <f t="shared" ref="BH28" si="243">-ROUND(AV$23*(1-$E$28),0)</f>
        <v>-308</v>
      </c>
      <c r="BI28" s="30">
        <f t="shared" ref="BI28" si="244">-ROUND(AW$23*(1-$E$28),0)</f>
        <v>-330</v>
      </c>
      <c r="BJ28" s="30">
        <f t="shared" ref="BJ28" si="245">-ROUND(AX$23*(1-$E$28),0)</f>
        <v>-353</v>
      </c>
      <c r="BK28" s="30">
        <f t="shared" ref="BK28" si="246">-ROUND(AY$23*(1-$E$28),0)</f>
        <v>-378</v>
      </c>
      <c r="BL28" s="30">
        <f t="shared" ref="BL28" si="247">-ROUND(AZ$23*(1-$E$28),0)</f>
        <v>-405</v>
      </c>
      <c r="BM28" s="30">
        <f t="shared" ref="BM28" si="248">-ROUND(BA$23*(1-$E$28),0)</f>
        <v>-433</v>
      </c>
      <c r="BN28" s="30">
        <f t="shared" ref="BN28" si="249">-ROUND(BB$23*(1-$E$28),0)</f>
        <v>-463</v>
      </c>
    </row>
    <row r="29" spans="2:66" x14ac:dyDescent="0.3">
      <c r="C29" s="31" t="s">
        <v>28</v>
      </c>
      <c r="D29" s="32"/>
      <c r="E29" s="32"/>
      <c r="F29" s="32"/>
      <c r="G29" s="33">
        <f>SUM(G26:G28)</f>
        <v>55</v>
      </c>
      <c r="H29" s="33">
        <f>SUM(H26:H28)</f>
        <v>114</v>
      </c>
      <c r="I29" s="33">
        <f t="shared" ref="I29:T29" si="250">SUM(I26:I28)</f>
        <v>177</v>
      </c>
      <c r="J29" s="33">
        <f t="shared" si="250"/>
        <v>244</v>
      </c>
      <c r="K29" s="33">
        <f t="shared" si="250"/>
        <v>316</v>
      </c>
      <c r="L29" s="33">
        <f t="shared" si="250"/>
        <v>393</v>
      </c>
      <c r="M29" s="33">
        <f t="shared" si="250"/>
        <v>475</v>
      </c>
      <c r="N29" s="33">
        <f t="shared" si="250"/>
        <v>563</v>
      </c>
      <c r="O29" s="33">
        <f t="shared" si="250"/>
        <v>657</v>
      </c>
      <c r="P29" s="33">
        <f t="shared" si="250"/>
        <v>758</v>
      </c>
      <c r="Q29" s="33">
        <f t="shared" si="250"/>
        <v>866</v>
      </c>
      <c r="R29" s="33">
        <f t="shared" si="250"/>
        <v>982</v>
      </c>
      <c r="S29" s="33">
        <f t="shared" si="250"/>
        <v>1087</v>
      </c>
      <c r="T29" s="33">
        <f t="shared" si="250"/>
        <v>1199</v>
      </c>
      <c r="U29" s="33">
        <f t="shared" ref="U29" si="251">SUM(U26:U28)</f>
        <v>1319</v>
      </c>
      <c r="V29" s="33">
        <f t="shared" ref="V29" si="252">SUM(V26:V28)</f>
        <v>1448</v>
      </c>
      <c r="W29" s="33">
        <f t="shared" ref="W29" si="253">SUM(W26:W28)</f>
        <v>1586</v>
      </c>
      <c r="X29" s="33">
        <f t="shared" ref="X29" si="254">SUM(X26:X28)</f>
        <v>1733</v>
      </c>
      <c r="Y29" s="33">
        <f t="shared" ref="Y29" si="255">SUM(Y26:Y28)</f>
        <v>1890</v>
      </c>
      <c r="Z29" s="33">
        <f t="shared" ref="Z29" si="256">SUM(Z26:Z28)</f>
        <v>2058</v>
      </c>
      <c r="AA29" s="33">
        <f t="shared" ref="AA29" si="257">SUM(AA26:AA28)</f>
        <v>2238</v>
      </c>
      <c r="AB29" s="33">
        <f t="shared" ref="AB29" si="258">SUM(AB26:AB28)</f>
        <v>2431</v>
      </c>
      <c r="AC29" s="33">
        <f t="shared" ref="AC29" si="259">SUM(AC26:AC28)</f>
        <v>2637</v>
      </c>
      <c r="AD29" s="33">
        <f t="shared" ref="AD29" si="260">SUM(AD26:AD28)</f>
        <v>2857</v>
      </c>
      <c r="AE29" s="33">
        <f t="shared" ref="AE29:BC29" si="261">SUM(AE26:AE28)</f>
        <v>3093</v>
      </c>
      <c r="AF29" s="33">
        <f t="shared" si="261"/>
        <v>3345</v>
      </c>
      <c r="AG29" s="33">
        <f t="shared" si="261"/>
        <v>3615</v>
      </c>
      <c r="AH29" s="33">
        <f t="shared" si="261"/>
        <v>3904</v>
      </c>
      <c r="AI29" s="33">
        <f t="shared" si="261"/>
        <v>4213</v>
      </c>
      <c r="AJ29" s="33">
        <f t="shared" si="261"/>
        <v>4544</v>
      </c>
      <c r="AK29" s="33">
        <f t="shared" si="261"/>
        <v>4898</v>
      </c>
      <c r="AL29" s="33">
        <f t="shared" si="261"/>
        <v>5276</v>
      </c>
      <c r="AM29" s="33">
        <f t="shared" si="261"/>
        <v>5680</v>
      </c>
      <c r="AN29" s="33">
        <f t="shared" si="261"/>
        <v>6113</v>
      </c>
      <c r="AO29" s="33">
        <f t="shared" si="261"/>
        <v>6577</v>
      </c>
      <c r="AP29" s="33">
        <f t="shared" si="261"/>
        <v>7073</v>
      </c>
      <c r="AQ29" s="33">
        <f t="shared" si="261"/>
        <v>7603</v>
      </c>
      <c r="AR29" s="33">
        <f t="shared" si="261"/>
        <v>8170</v>
      </c>
      <c r="AS29" s="33">
        <f t="shared" si="261"/>
        <v>8777</v>
      </c>
      <c r="AT29" s="33">
        <f t="shared" si="261"/>
        <v>9426</v>
      </c>
      <c r="AU29" s="33">
        <f t="shared" si="261"/>
        <v>10121</v>
      </c>
      <c r="AV29" s="33">
        <f t="shared" si="261"/>
        <v>10865</v>
      </c>
      <c r="AW29" s="33">
        <f t="shared" si="261"/>
        <v>11661</v>
      </c>
      <c r="AX29" s="33">
        <f t="shared" si="261"/>
        <v>12513</v>
      </c>
      <c r="AY29" s="33">
        <f t="shared" si="261"/>
        <v>13425</v>
      </c>
      <c r="AZ29" s="33">
        <f t="shared" si="261"/>
        <v>14401</v>
      </c>
      <c r="BA29" s="33">
        <f t="shared" si="261"/>
        <v>15446</v>
      </c>
      <c r="BB29" s="33">
        <f t="shared" si="261"/>
        <v>16565</v>
      </c>
      <c r="BC29" s="33">
        <f t="shared" si="261"/>
        <v>17762</v>
      </c>
      <c r="BD29" s="33">
        <f t="shared" ref="BD29:BI29" si="262">SUM(BD26:BD28)</f>
        <v>19043</v>
      </c>
      <c r="BE29" s="33">
        <f t="shared" si="262"/>
        <v>20413</v>
      </c>
      <c r="BF29" s="33">
        <f t="shared" si="262"/>
        <v>21880</v>
      </c>
      <c r="BG29" s="33">
        <f t="shared" si="262"/>
        <v>23450</v>
      </c>
      <c r="BH29" s="33">
        <f t="shared" si="262"/>
        <v>25130</v>
      </c>
      <c r="BI29" s="33">
        <f t="shared" si="262"/>
        <v>26927</v>
      </c>
      <c r="BJ29" s="33">
        <f t="shared" ref="BJ29:BN29" si="263">SUM(BJ26:BJ28)</f>
        <v>28850</v>
      </c>
      <c r="BK29" s="33">
        <f t="shared" si="263"/>
        <v>30907</v>
      </c>
      <c r="BL29" s="33">
        <f t="shared" si="263"/>
        <v>33107</v>
      </c>
      <c r="BM29" s="33">
        <f t="shared" si="263"/>
        <v>35461</v>
      </c>
      <c r="BN29" s="33">
        <f t="shared" si="263"/>
        <v>37980</v>
      </c>
    </row>
    <row r="30" spans="2:66" x14ac:dyDescent="0.3">
      <c r="C30" s="6" t="s">
        <v>37</v>
      </c>
      <c r="G30" s="42">
        <f>IF(G28=0, 0, 1)</f>
        <v>0</v>
      </c>
      <c r="H30" s="42">
        <f t="shared" ref="H30:R30" si="264">IF(H28=0, 0, 1)</f>
        <v>0</v>
      </c>
      <c r="I30" s="42">
        <f t="shared" si="264"/>
        <v>0</v>
      </c>
      <c r="J30" s="42">
        <f t="shared" si="264"/>
        <v>0</v>
      </c>
      <c r="K30" s="42">
        <f t="shared" si="264"/>
        <v>0</v>
      </c>
      <c r="L30" s="42">
        <f t="shared" si="264"/>
        <v>0</v>
      </c>
      <c r="M30" s="42">
        <f t="shared" si="264"/>
        <v>0</v>
      </c>
      <c r="N30" s="42">
        <f t="shared" si="264"/>
        <v>0</v>
      </c>
      <c r="O30" s="42">
        <f t="shared" si="264"/>
        <v>0</v>
      </c>
      <c r="P30" s="42">
        <f t="shared" si="264"/>
        <v>0</v>
      </c>
      <c r="Q30" s="42">
        <f t="shared" si="264"/>
        <v>0</v>
      </c>
      <c r="R30" s="42">
        <f t="shared" si="264"/>
        <v>0</v>
      </c>
      <c r="S30" s="43">
        <f t="shared" ref="S30:AD30" si="265">ROUND(G$23*$E$28,0)</f>
        <v>36</v>
      </c>
      <c r="T30" s="43">
        <f t="shared" si="265"/>
        <v>38</v>
      </c>
      <c r="U30" s="43">
        <f t="shared" si="265"/>
        <v>41</v>
      </c>
      <c r="V30" s="43">
        <f t="shared" si="265"/>
        <v>44</v>
      </c>
      <c r="W30" s="43">
        <f t="shared" si="265"/>
        <v>47</v>
      </c>
      <c r="X30" s="43">
        <f t="shared" si="265"/>
        <v>50</v>
      </c>
      <c r="Y30" s="43">
        <f t="shared" si="265"/>
        <v>53</v>
      </c>
      <c r="Z30" s="43">
        <f t="shared" si="265"/>
        <v>57</v>
      </c>
      <c r="AA30" s="43">
        <f t="shared" si="265"/>
        <v>61</v>
      </c>
      <c r="AB30" s="43">
        <f t="shared" si="265"/>
        <v>66</v>
      </c>
      <c r="AC30" s="43">
        <f t="shared" si="265"/>
        <v>70</v>
      </c>
      <c r="AD30" s="43">
        <f t="shared" si="265"/>
        <v>75</v>
      </c>
      <c r="AE30" s="43">
        <f t="shared" ref="AE30" si="266">ROUND(S$23*$E$28,0)</f>
        <v>81</v>
      </c>
      <c r="AF30" s="43">
        <f t="shared" ref="AF30" si="267">ROUND(T$23*$E$28,0)</f>
        <v>86</v>
      </c>
      <c r="AG30" s="43">
        <f t="shared" ref="AG30" si="268">ROUND(U$23*$E$28,0)</f>
        <v>92</v>
      </c>
      <c r="AH30" s="43">
        <f t="shared" ref="AH30" si="269">ROUND(V$23*$E$28,0)</f>
        <v>99</v>
      </c>
      <c r="AI30" s="43">
        <f t="shared" ref="AI30" si="270">ROUND(W$23*$E$28,0)</f>
        <v>106</v>
      </c>
      <c r="AJ30" s="43">
        <f t="shared" ref="AJ30" si="271">ROUND(X$23*$E$28,0)</f>
        <v>113</v>
      </c>
      <c r="AK30" s="43">
        <f t="shared" ref="AK30" si="272">ROUND(Y$23*$E$28,0)</f>
        <v>121</v>
      </c>
      <c r="AL30" s="43">
        <f t="shared" ref="AL30" si="273">ROUND(Z$23*$E$28,0)</f>
        <v>129</v>
      </c>
      <c r="AM30" s="43">
        <f t="shared" ref="AM30" si="274">ROUND(AA$23*$E$28,0)</f>
        <v>138</v>
      </c>
      <c r="AN30" s="43">
        <f t="shared" ref="AN30" si="275">ROUND(AB$23*$E$28,0)</f>
        <v>148</v>
      </c>
      <c r="AO30" s="43">
        <f t="shared" ref="AO30" si="276">ROUND(AC$23*$E$28,0)</f>
        <v>159</v>
      </c>
      <c r="AP30" s="43">
        <f t="shared" ref="AP30" si="277">ROUND(AD$23*$E$28,0)</f>
        <v>170</v>
      </c>
      <c r="AQ30" s="43">
        <f t="shared" ref="AQ30" si="278">ROUND(AE$23*$E$28,0)</f>
        <v>181</v>
      </c>
      <c r="AR30" s="43">
        <f t="shared" ref="AR30" si="279">ROUND(AF$23*$E$28,0)</f>
        <v>194</v>
      </c>
      <c r="AS30" s="43">
        <f t="shared" ref="AS30" si="280">ROUND(AG$23*$E$28,0)</f>
        <v>208</v>
      </c>
      <c r="AT30" s="43">
        <f t="shared" ref="AT30" si="281">ROUND(AH$23*$E$28,0)</f>
        <v>222</v>
      </c>
      <c r="AU30" s="43">
        <f t="shared" ref="AU30" si="282">ROUND(AI$23*$E$28,0)</f>
        <v>238</v>
      </c>
      <c r="AV30" s="43">
        <f t="shared" ref="AV30" si="283">ROUND(AJ$23*$E$28,0)</f>
        <v>255</v>
      </c>
      <c r="AW30" s="43">
        <f t="shared" ref="AW30" si="284">ROUND(AK$23*$E$28,0)</f>
        <v>272</v>
      </c>
      <c r="AX30" s="43">
        <f t="shared" ref="AX30" si="285">ROUND(AL$23*$E$28,0)</f>
        <v>291</v>
      </c>
      <c r="AY30" s="43">
        <f t="shared" ref="AY30" si="286">ROUND(AM$23*$E$28,0)</f>
        <v>311</v>
      </c>
      <c r="AZ30" s="43">
        <f t="shared" ref="AZ30" si="287">ROUND(AN$23*$E$28,0)</f>
        <v>333</v>
      </c>
      <c r="BA30" s="43">
        <f t="shared" ref="BA30" si="288">ROUND(AO$23*$E$28,0)</f>
        <v>357</v>
      </c>
      <c r="BB30" s="43">
        <f t="shared" ref="BB30" si="289">ROUND(AP$23*$E$28,0)</f>
        <v>382</v>
      </c>
      <c r="BC30" s="43">
        <f t="shared" ref="BC30" si="290">ROUND(AQ$23*$E$28,0)</f>
        <v>408</v>
      </c>
      <c r="BD30" s="43">
        <f t="shared" ref="BD30" si="291">ROUND(AR$23*$E$28,0)</f>
        <v>437</v>
      </c>
      <c r="BE30" s="43">
        <f t="shared" ref="BE30" si="292">ROUND(AS$23*$E$28,0)</f>
        <v>467</v>
      </c>
      <c r="BF30" s="43">
        <f t="shared" ref="BF30" si="293">ROUND(AT$23*$E$28,0)</f>
        <v>500</v>
      </c>
      <c r="BG30" s="43">
        <f t="shared" ref="BG30" si="294">ROUND(AU$23*$E$28,0)</f>
        <v>535</v>
      </c>
      <c r="BH30" s="43">
        <f t="shared" ref="BH30" si="295">ROUND(AV$23*$E$28,0)</f>
        <v>573</v>
      </c>
      <c r="BI30" s="43">
        <f t="shared" ref="BI30" si="296">ROUND(AW$23*$E$28,0)</f>
        <v>613</v>
      </c>
      <c r="BJ30" s="43">
        <f t="shared" ref="BJ30" si="297">ROUND(AX$23*$E$28,0)</f>
        <v>656</v>
      </c>
      <c r="BK30" s="43">
        <f t="shared" ref="BK30" si="298">ROUND(AY$23*$E$28,0)</f>
        <v>702</v>
      </c>
      <c r="BL30" s="43">
        <f t="shared" ref="BL30" si="299">ROUND(AZ$23*$E$28,0)</f>
        <v>751</v>
      </c>
      <c r="BM30" s="43">
        <f t="shared" ref="BM30" si="300">ROUND(BA$23*$E$28,0)</f>
        <v>804</v>
      </c>
      <c r="BN30" s="43">
        <f t="shared" ref="BN30" si="301">ROUND(BB$23*$E$28,0)</f>
        <v>861</v>
      </c>
    </row>
    <row r="31" spans="2:66" x14ac:dyDescent="0.3"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</row>
    <row r="32" spans="2:66" x14ac:dyDescent="0.3">
      <c r="B32" s="22" t="s">
        <v>0</v>
      </c>
      <c r="C32" s="23" t="s">
        <v>21</v>
      </c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</row>
    <row r="33" spans="1:66" ht="3" customHeight="1" x14ac:dyDescent="0.3"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</row>
    <row r="34" spans="1:66" x14ac:dyDescent="0.3">
      <c r="C34" t="str">
        <f>C13</f>
        <v>New Monthly Subscribers</v>
      </c>
      <c r="G34" s="27">
        <f>G13</f>
        <v>90</v>
      </c>
      <c r="H34" s="27">
        <f t="shared" ref="H34:AD34" si="302">H13</f>
        <v>99</v>
      </c>
      <c r="I34" s="27">
        <f t="shared" si="302"/>
        <v>109</v>
      </c>
      <c r="J34" s="27">
        <f t="shared" si="302"/>
        <v>120</v>
      </c>
      <c r="K34" s="27">
        <f t="shared" si="302"/>
        <v>132</v>
      </c>
      <c r="L34" s="27">
        <f t="shared" si="302"/>
        <v>145</v>
      </c>
      <c r="M34" s="27">
        <f t="shared" si="302"/>
        <v>160</v>
      </c>
      <c r="N34" s="27">
        <f t="shared" si="302"/>
        <v>176</v>
      </c>
      <c r="O34" s="27">
        <f t="shared" si="302"/>
        <v>194</v>
      </c>
      <c r="P34" s="27">
        <f t="shared" si="302"/>
        <v>213</v>
      </c>
      <c r="Q34" s="27">
        <f t="shared" si="302"/>
        <v>234</v>
      </c>
      <c r="R34" s="27">
        <f t="shared" si="302"/>
        <v>257</v>
      </c>
      <c r="S34" s="27">
        <f t="shared" si="302"/>
        <v>283</v>
      </c>
      <c r="T34" s="27">
        <f t="shared" si="302"/>
        <v>311</v>
      </c>
      <c r="U34" s="27">
        <f t="shared" si="302"/>
        <v>342</v>
      </c>
      <c r="V34" s="27">
        <f t="shared" si="302"/>
        <v>376</v>
      </c>
      <c r="W34" s="27">
        <f t="shared" si="302"/>
        <v>414</v>
      </c>
      <c r="X34" s="27">
        <f t="shared" si="302"/>
        <v>455</v>
      </c>
      <c r="Y34" s="27">
        <f t="shared" si="302"/>
        <v>501</v>
      </c>
      <c r="Z34" s="27">
        <f t="shared" si="302"/>
        <v>551</v>
      </c>
      <c r="AA34" s="27">
        <f t="shared" si="302"/>
        <v>606</v>
      </c>
      <c r="AB34" s="27">
        <f t="shared" si="302"/>
        <v>667</v>
      </c>
      <c r="AC34" s="27">
        <f t="shared" si="302"/>
        <v>734</v>
      </c>
      <c r="AD34" s="27">
        <f t="shared" si="302"/>
        <v>807</v>
      </c>
      <c r="AE34" s="27">
        <f t="shared" ref="AE34:BC34" si="303">AE13</f>
        <v>888</v>
      </c>
      <c r="AF34" s="27">
        <f t="shared" si="303"/>
        <v>977</v>
      </c>
      <c r="AG34" s="27">
        <f t="shared" si="303"/>
        <v>1075</v>
      </c>
      <c r="AH34" s="27">
        <f t="shared" si="303"/>
        <v>1183</v>
      </c>
      <c r="AI34" s="27">
        <f t="shared" si="303"/>
        <v>1301</v>
      </c>
      <c r="AJ34" s="27">
        <f t="shared" si="303"/>
        <v>1431</v>
      </c>
      <c r="AK34" s="27">
        <f t="shared" si="303"/>
        <v>1574</v>
      </c>
      <c r="AL34" s="27">
        <f t="shared" si="303"/>
        <v>1731</v>
      </c>
      <c r="AM34" s="27">
        <f t="shared" si="303"/>
        <v>1904</v>
      </c>
      <c r="AN34" s="27">
        <f t="shared" si="303"/>
        <v>2094</v>
      </c>
      <c r="AO34" s="27">
        <f t="shared" si="303"/>
        <v>2303</v>
      </c>
      <c r="AP34" s="27">
        <f t="shared" si="303"/>
        <v>2533</v>
      </c>
      <c r="AQ34" s="27">
        <f t="shared" si="303"/>
        <v>2786</v>
      </c>
      <c r="AR34" s="27">
        <f t="shared" si="303"/>
        <v>3065</v>
      </c>
      <c r="AS34" s="27">
        <f t="shared" si="303"/>
        <v>3372</v>
      </c>
      <c r="AT34" s="27">
        <f t="shared" si="303"/>
        <v>3709</v>
      </c>
      <c r="AU34" s="27">
        <f t="shared" si="303"/>
        <v>4080</v>
      </c>
      <c r="AV34" s="27">
        <f t="shared" si="303"/>
        <v>4488</v>
      </c>
      <c r="AW34" s="27">
        <f t="shared" si="303"/>
        <v>4937</v>
      </c>
      <c r="AX34" s="27">
        <f t="shared" si="303"/>
        <v>5431</v>
      </c>
      <c r="AY34" s="27">
        <f t="shared" si="303"/>
        <v>5974</v>
      </c>
      <c r="AZ34" s="27">
        <f t="shared" si="303"/>
        <v>6571</v>
      </c>
      <c r="BA34" s="27">
        <f t="shared" si="303"/>
        <v>7228</v>
      </c>
      <c r="BB34" s="27">
        <f t="shared" si="303"/>
        <v>7951</v>
      </c>
      <c r="BC34" s="27">
        <f t="shared" si="303"/>
        <v>8746</v>
      </c>
      <c r="BD34" s="27">
        <f t="shared" ref="BD34:BI34" si="304">BD13</f>
        <v>9621</v>
      </c>
      <c r="BE34" s="27">
        <f t="shared" si="304"/>
        <v>10583</v>
      </c>
      <c r="BF34" s="27">
        <f t="shared" si="304"/>
        <v>11641</v>
      </c>
      <c r="BG34" s="27">
        <f t="shared" si="304"/>
        <v>12805</v>
      </c>
      <c r="BH34" s="27">
        <f t="shared" si="304"/>
        <v>14086</v>
      </c>
      <c r="BI34" s="27">
        <f t="shared" si="304"/>
        <v>15495</v>
      </c>
      <c r="BJ34" s="27">
        <f t="shared" ref="BJ34:BN34" si="305">BJ13</f>
        <v>17045</v>
      </c>
      <c r="BK34" s="27">
        <f t="shared" si="305"/>
        <v>18750</v>
      </c>
      <c r="BL34" s="27">
        <f t="shared" si="305"/>
        <v>20625</v>
      </c>
      <c r="BM34" s="27">
        <f t="shared" si="305"/>
        <v>22688</v>
      </c>
      <c r="BN34" s="27">
        <f t="shared" si="305"/>
        <v>24957</v>
      </c>
    </row>
    <row r="35" spans="1:66" x14ac:dyDescent="0.3">
      <c r="C35" t="str">
        <f>C23</f>
        <v>New Annual Subscribers</v>
      </c>
      <c r="G35" s="27">
        <f>G23</f>
        <v>55</v>
      </c>
      <c r="H35" s="27">
        <f t="shared" ref="H35:AD35" si="306">H23</f>
        <v>59</v>
      </c>
      <c r="I35" s="27">
        <f t="shared" si="306"/>
        <v>63</v>
      </c>
      <c r="J35" s="27">
        <f t="shared" si="306"/>
        <v>67</v>
      </c>
      <c r="K35" s="27">
        <f t="shared" si="306"/>
        <v>72</v>
      </c>
      <c r="L35" s="27">
        <f t="shared" si="306"/>
        <v>77</v>
      </c>
      <c r="M35" s="27">
        <f t="shared" si="306"/>
        <v>82</v>
      </c>
      <c r="N35" s="27">
        <f t="shared" si="306"/>
        <v>88</v>
      </c>
      <c r="O35" s="27">
        <f t="shared" si="306"/>
        <v>94</v>
      </c>
      <c r="P35" s="27">
        <f t="shared" si="306"/>
        <v>101</v>
      </c>
      <c r="Q35" s="27">
        <f t="shared" si="306"/>
        <v>108</v>
      </c>
      <c r="R35" s="27">
        <f t="shared" si="306"/>
        <v>116</v>
      </c>
      <c r="S35" s="27">
        <f t="shared" si="306"/>
        <v>124</v>
      </c>
      <c r="T35" s="27">
        <f t="shared" si="306"/>
        <v>133</v>
      </c>
      <c r="U35" s="27">
        <f t="shared" si="306"/>
        <v>142</v>
      </c>
      <c r="V35" s="27">
        <f t="shared" si="306"/>
        <v>152</v>
      </c>
      <c r="W35" s="27">
        <f t="shared" si="306"/>
        <v>163</v>
      </c>
      <c r="X35" s="27">
        <f t="shared" si="306"/>
        <v>174</v>
      </c>
      <c r="Y35" s="27">
        <f t="shared" si="306"/>
        <v>186</v>
      </c>
      <c r="Z35" s="27">
        <f t="shared" si="306"/>
        <v>199</v>
      </c>
      <c r="AA35" s="27">
        <f t="shared" si="306"/>
        <v>213</v>
      </c>
      <c r="AB35" s="27">
        <f t="shared" si="306"/>
        <v>228</v>
      </c>
      <c r="AC35" s="27">
        <f t="shared" si="306"/>
        <v>244</v>
      </c>
      <c r="AD35" s="27">
        <f t="shared" si="306"/>
        <v>261</v>
      </c>
      <c r="AE35" s="27">
        <f t="shared" ref="AE35:BC35" si="307">AE23</f>
        <v>279</v>
      </c>
      <c r="AF35" s="27">
        <f t="shared" si="307"/>
        <v>299</v>
      </c>
      <c r="AG35" s="27">
        <f t="shared" si="307"/>
        <v>320</v>
      </c>
      <c r="AH35" s="27">
        <f t="shared" si="307"/>
        <v>342</v>
      </c>
      <c r="AI35" s="27">
        <f t="shared" si="307"/>
        <v>366</v>
      </c>
      <c r="AJ35" s="27">
        <f t="shared" si="307"/>
        <v>392</v>
      </c>
      <c r="AK35" s="27">
        <f t="shared" si="307"/>
        <v>419</v>
      </c>
      <c r="AL35" s="27">
        <f t="shared" si="307"/>
        <v>448</v>
      </c>
      <c r="AM35" s="27">
        <f t="shared" si="307"/>
        <v>479</v>
      </c>
      <c r="AN35" s="27">
        <f t="shared" si="307"/>
        <v>513</v>
      </c>
      <c r="AO35" s="27">
        <f t="shared" si="307"/>
        <v>549</v>
      </c>
      <c r="AP35" s="27">
        <f t="shared" si="307"/>
        <v>587</v>
      </c>
      <c r="AQ35" s="27">
        <f t="shared" si="307"/>
        <v>628</v>
      </c>
      <c r="AR35" s="27">
        <f t="shared" si="307"/>
        <v>672</v>
      </c>
      <c r="AS35" s="27">
        <f t="shared" si="307"/>
        <v>719</v>
      </c>
      <c r="AT35" s="27">
        <f t="shared" si="307"/>
        <v>769</v>
      </c>
      <c r="AU35" s="27">
        <f t="shared" si="307"/>
        <v>823</v>
      </c>
      <c r="AV35" s="27">
        <f t="shared" si="307"/>
        <v>881</v>
      </c>
      <c r="AW35" s="27">
        <f t="shared" si="307"/>
        <v>943</v>
      </c>
      <c r="AX35" s="27">
        <f t="shared" si="307"/>
        <v>1009</v>
      </c>
      <c r="AY35" s="27">
        <f t="shared" si="307"/>
        <v>1080</v>
      </c>
      <c r="AZ35" s="27">
        <f t="shared" si="307"/>
        <v>1156</v>
      </c>
      <c r="BA35" s="27">
        <f t="shared" si="307"/>
        <v>1237</v>
      </c>
      <c r="BB35" s="27">
        <f t="shared" si="307"/>
        <v>1324</v>
      </c>
      <c r="BC35" s="27">
        <f t="shared" si="307"/>
        <v>1417</v>
      </c>
      <c r="BD35" s="27">
        <f t="shared" ref="BD35:BI35" si="308">BD23</f>
        <v>1516</v>
      </c>
      <c r="BE35" s="27">
        <f t="shared" si="308"/>
        <v>1622</v>
      </c>
      <c r="BF35" s="27">
        <f t="shared" si="308"/>
        <v>1736</v>
      </c>
      <c r="BG35" s="27">
        <f t="shared" si="308"/>
        <v>1858</v>
      </c>
      <c r="BH35" s="27">
        <f t="shared" si="308"/>
        <v>1988</v>
      </c>
      <c r="BI35" s="27">
        <f t="shared" si="308"/>
        <v>2127</v>
      </c>
      <c r="BJ35" s="27">
        <f t="shared" ref="BJ35:BN35" si="309">BJ23</f>
        <v>2276</v>
      </c>
      <c r="BK35" s="27">
        <f t="shared" si="309"/>
        <v>2435</v>
      </c>
      <c r="BL35" s="27">
        <f t="shared" si="309"/>
        <v>2605</v>
      </c>
      <c r="BM35" s="27">
        <f t="shared" si="309"/>
        <v>2787</v>
      </c>
      <c r="BN35" s="27">
        <f t="shared" si="309"/>
        <v>2982</v>
      </c>
    </row>
    <row r="36" spans="1:66" x14ac:dyDescent="0.3">
      <c r="C36" s="31" t="s">
        <v>21</v>
      </c>
      <c r="D36" s="31"/>
      <c r="E36" s="31"/>
      <c r="F36" s="31"/>
      <c r="G36" s="33">
        <f>SUM(G34:G35)</f>
        <v>145</v>
      </c>
      <c r="H36" s="33">
        <f t="shared" ref="H36:AD36" si="310">SUM(H34:H35)</f>
        <v>158</v>
      </c>
      <c r="I36" s="33">
        <f t="shared" si="310"/>
        <v>172</v>
      </c>
      <c r="J36" s="33">
        <f t="shared" si="310"/>
        <v>187</v>
      </c>
      <c r="K36" s="33">
        <f t="shared" si="310"/>
        <v>204</v>
      </c>
      <c r="L36" s="33">
        <f t="shared" si="310"/>
        <v>222</v>
      </c>
      <c r="M36" s="33">
        <f t="shared" si="310"/>
        <v>242</v>
      </c>
      <c r="N36" s="33">
        <f t="shared" si="310"/>
        <v>264</v>
      </c>
      <c r="O36" s="33">
        <f t="shared" si="310"/>
        <v>288</v>
      </c>
      <c r="P36" s="33">
        <f t="shared" si="310"/>
        <v>314</v>
      </c>
      <c r="Q36" s="33">
        <f t="shared" si="310"/>
        <v>342</v>
      </c>
      <c r="R36" s="33">
        <f t="shared" si="310"/>
        <v>373</v>
      </c>
      <c r="S36" s="33">
        <f t="shared" si="310"/>
        <v>407</v>
      </c>
      <c r="T36" s="33">
        <f t="shared" si="310"/>
        <v>444</v>
      </c>
      <c r="U36" s="33">
        <f t="shared" si="310"/>
        <v>484</v>
      </c>
      <c r="V36" s="33">
        <f t="shared" si="310"/>
        <v>528</v>
      </c>
      <c r="W36" s="33">
        <f t="shared" si="310"/>
        <v>577</v>
      </c>
      <c r="X36" s="33">
        <f t="shared" si="310"/>
        <v>629</v>
      </c>
      <c r="Y36" s="33">
        <f t="shared" si="310"/>
        <v>687</v>
      </c>
      <c r="Z36" s="33">
        <f t="shared" si="310"/>
        <v>750</v>
      </c>
      <c r="AA36" s="33">
        <f t="shared" si="310"/>
        <v>819</v>
      </c>
      <c r="AB36" s="33">
        <f t="shared" si="310"/>
        <v>895</v>
      </c>
      <c r="AC36" s="33">
        <f t="shared" si="310"/>
        <v>978</v>
      </c>
      <c r="AD36" s="33">
        <f t="shared" si="310"/>
        <v>1068</v>
      </c>
      <c r="AE36" s="33">
        <f t="shared" ref="AE36:BC36" si="311">SUM(AE34:AE35)</f>
        <v>1167</v>
      </c>
      <c r="AF36" s="33">
        <f t="shared" si="311"/>
        <v>1276</v>
      </c>
      <c r="AG36" s="33">
        <f t="shared" si="311"/>
        <v>1395</v>
      </c>
      <c r="AH36" s="33">
        <f t="shared" si="311"/>
        <v>1525</v>
      </c>
      <c r="AI36" s="33">
        <f t="shared" si="311"/>
        <v>1667</v>
      </c>
      <c r="AJ36" s="33">
        <f t="shared" si="311"/>
        <v>1823</v>
      </c>
      <c r="AK36" s="33">
        <f t="shared" si="311"/>
        <v>1993</v>
      </c>
      <c r="AL36" s="33">
        <f t="shared" si="311"/>
        <v>2179</v>
      </c>
      <c r="AM36" s="33">
        <f t="shared" si="311"/>
        <v>2383</v>
      </c>
      <c r="AN36" s="33">
        <f t="shared" si="311"/>
        <v>2607</v>
      </c>
      <c r="AO36" s="33">
        <f t="shared" si="311"/>
        <v>2852</v>
      </c>
      <c r="AP36" s="33">
        <f t="shared" si="311"/>
        <v>3120</v>
      </c>
      <c r="AQ36" s="33">
        <f t="shared" si="311"/>
        <v>3414</v>
      </c>
      <c r="AR36" s="33">
        <f t="shared" si="311"/>
        <v>3737</v>
      </c>
      <c r="AS36" s="33">
        <f t="shared" si="311"/>
        <v>4091</v>
      </c>
      <c r="AT36" s="33">
        <f t="shared" si="311"/>
        <v>4478</v>
      </c>
      <c r="AU36" s="33">
        <f t="shared" si="311"/>
        <v>4903</v>
      </c>
      <c r="AV36" s="33">
        <f t="shared" si="311"/>
        <v>5369</v>
      </c>
      <c r="AW36" s="33">
        <f t="shared" si="311"/>
        <v>5880</v>
      </c>
      <c r="AX36" s="33">
        <f t="shared" si="311"/>
        <v>6440</v>
      </c>
      <c r="AY36" s="33">
        <f t="shared" si="311"/>
        <v>7054</v>
      </c>
      <c r="AZ36" s="33">
        <f t="shared" si="311"/>
        <v>7727</v>
      </c>
      <c r="BA36" s="33">
        <f t="shared" si="311"/>
        <v>8465</v>
      </c>
      <c r="BB36" s="33">
        <f t="shared" si="311"/>
        <v>9275</v>
      </c>
      <c r="BC36" s="33">
        <f t="shared" si="311"/>
        <v>10163</v>
      </c>
      <c r="BD36" s="33">
        <f t="shared" ref="BD36:BI36" si="312">SUM(BD34:BD35)</f>
        <v>11137</v>
      </c>
      <c r="BE36" s="33">
        <f t="shared" si="312"/>
        <v>12205</v>
      </c>
      <c r="BF36" s="33">
        <f t="shared" si="312"/>
        <v>13377</v>
      </c>
      <c r="BG36" s="33">
        <f t="shared" si="312"/>
        <v>14663</v>
      </c>
      <c r="BH36" s="33">
        <f t="shared" si="312"/>
        <v>16074</v>
      </c>
      <c r="BI36" s="33">
        <f t="shared" si="312"/>
        <v>17622</v>
      </c>
      <c r="BJ36" s="33">
        <f t="shared" ref="BJ36:BN36" si="313">SUM(BJ34:BJ35)</f>
        <v>19321</v>
      </c>
      <c r="BK36" s="33">
        <f t="shared" si="313"/>
        <v>21185</v>
      </c>
      <c r="BL36" s="33">
        <f t="shared" si="313"/>
        <v>23230</v>
      </c>
      <c r="BM36" s="33">
        <f t="shared" si="313"/>
        <v>25475</v>
      </c>
      <c r="BN36" s="33">
        <f t="shared" si="313"/>
        <v>27939</v>
      </c>
    </row>
    <row r="37" spans="1:66" x14ac:dyDescent="0.3"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</row>
    <row r="38" spans="1:66" x14ac:dyDescent="0.3">
      <c r="B38" s="22" t="s">
        <v>0</v>
      </c>
      <c r="C38" s="23" t="s">
        <v>33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</row>
    <row r="39" spans="1:66" ht="3" customHeight="1" x14ac:dyDescent="0.3"/>
    <row r="40" spans="1:66" x14ac:dyDescent="0.3">
      <c r="C40" t="str">
        <f>C19</f>
        <v>Active Monthly Subscribers</v>
      </c>
      <c r="G40" s="27">
        <f>G19</f>
        <v>90</v>
      </c>
      <c r="H40" s="27">
        <f t="shared" ref="H40:AD40" si="314">H19</f>
        <v>175</v>
      </c>
      <c r="I40" s="27">
        <f t="shared" si="314"/>
        <v>258</v>
      </c>
      <c r="J40" s="27">
        <f t="shared" si="314"/>
        <v>339</v>
      </c>
      <c r="K40" s="27">
        <f t="shared" si="314"/>
        <v>420</v>
      </c>
      <c r="L40" s="27">
        <f t="shared" si="314"/>
        <v>502</v>
      </c>
      <c r="M40" s="27">
        <f t="shared" si="314"/>
        <v>587</v>
      </c>
      <c r="N40" s="27">
        <f t="shared" si="314"/>
        <v>675</v>
      </c>
      <c r="O40" s="27">
        <f t="shared" si="314"/>
        <v>768</v>
      </c>
      <c r="P40" s="27">
        <f t="shared" si="314"/>
        <v>866</v>
      </c>
      <c r="Q40" s="27">
        <f t="shared" si="314"/>
        <v>970</v>
      </c>
      <c r="R40" s="27">
        <f t="shared" si="314"/>
        <v>1081</v>
      </c>
      <c r="S40" s="27">
        <f t="shared" si="314"/>
        <v>1202</v>
      </c>
      <c r="T40" s="27">
        <f t="shared" si="314"/>
        <v>1333</v>
      </c>
      <c r="U40" s="27">
        <f t="shared" si="314"/>
        <v>1475</v>
      </c>
      <c r="V40" s="27">
        <f t="shared" si="314"/>
        <v>1630</v>
      </c>
      <c r="W40" s="27">
        <f t="shared" si="314"/>
        <v>1799</v>
      </c>
      <c r="X40" s="27">
        <f t="shared" si="314"/>
        <v>1984</v>
      </c>
      <c r="Y40" s="27">
        <f t="shared" si="314"/>
        <v>2187</v>
      </c>
      <c r="Z40" s="27">
        <f t="shared" si="314"/>
        <v>2410</v>
      </c>
      <c r="AA40" s="27">
        <f t="shared" si="314"/>
        <v>2654</v>
      </c>
      <c r="AB40" s="27">
        <f t="shared" si="314"/>
        <v>2923</v>
      </c>
      <c r="AC40" s="27">
        <f t="shared" si="314"/>
        <v>3219</v>
      </c>
      <c r="AD40" s="27">
        <f t="shared" si="314"/>
        <v>3543</v>
      </c>
      <c r="AE40" s="27">
        <f t="shared" ref="AE40:BC40" si="315">AE19</f>
        <v>3900</v>
      </c>
      <c r="AF40" s="27">
        <f t="shared" si="315"/>
        <v>4292</v>
      </c>
      <c r="AG40" s="27">
        <f t="shared" si="315"/>
        <v>4723</v>
      </c>
      <c r="AH40" s="27">
        <f t="shared" si="315"/>
        <v>5198</v>
      </c>
      <c r="AI40" s="27">
        <f t="shared" si="315"/>
        <v>5719</v>
      </c>
      <c r="AJ40" s="27">
        <f t="shared" si="315"/>
        <v>6292</v>
      </c>
      <c r="AK40" s="27">
        <f t="shared" si="315"/>
        <v>6922</v>
      </c>
      <c r="AL40" s="27">
        <f t="shared" si="315"/>
        <v>7615</v>
      </c>
      <c r="AM40" s="27">
        <f t="shared" si="315"/>
        <v>8377</v>
      </c>
      <c r="AN40" s="27">
        <f t="shared" si="315"/>
        <v>9214</v>
      </c>
      <c r="AO40" s="27">
        <f t="shared" si="315"/>
        <v>10135</v>
      </c>
      <c r="AP40" s="27">
        <f t="shared" si="315"/>
        <v>11148</v>
      </c>
      <c r="AQ40" s="27">
        <f t="shared" si="315"/>
        <v>12262</v>
      </c>
      <c r="AR40" s="27">
        <f t="shared" si="315"/>
        <v>13488</v>
      </c>
      <c r="AS40" s="27">
        <f t="shared" si="315"/>
        <v>14837</v>
      </c>
      <c r="AT40" s="27">
        <f t="shared" si="315"/>
        <v>16320</v>
      </c>
      <c r="AU40" s="27">
        <f t="shared" si="315"/>
        <v>17952</v>
      </c>
      <c r="AV40" s="27">
        <f t="shared" si="315"/>
        <v>19747</v>
      </c>
      <c r="AW40" s="27">
        <f t="shared" si="315"/>
        <v>21722</v>
      </c>
      <c r="AX40" s="27">
        <f t="shared" si="315"/>
        <v>23895</v>
      </c>
      <c r="AY40" s="27">
        <f t="shared" si="315"/>
        <v>26285</v>
      </c>
      <c r="AZ40" s="27">
        <f t="shared" si="315"/>
        <v>28913</v>
      </c>
      <c r="BA40" s="27">
        <f t="shared" si="315"/>
        <v>31804</v>
      </c>
      <c r="BB40" s="27">
        <f t="shared" si="315"/>
        <v>34984</v>
      </c>
      <c r="BC40" s="27">
        <f t="shared" si="315"/>
        <v>38482</v>
      </c>
      <c r="BD40" s="27">
        <f t="shared" ref="BD40:BI40" si="316">BD19</f>
        <v>42331</v>
      </c>
      <c r="BE40" s="27">
        <f t="shared" si="316"/>
        <v>46564</v>
      </c>
      <c r="BF40" s="27">
        <f t="shared" si="316"/>
        <v>51220</v>
      </c>
      <c r="BG40" s="27">
        <f t="shared" si="316"/>
        <v>56342</v>
      </c>
      <c r="BH40" s="27">
        <f t="shared" si="316"/>
        <v>61977</v>
      </c>
      <c r="BI40" s="27">
        <f t="shared" si="316"/>
        <v>68175</v>
      </c>
      <c r="BJ40" s="27">
        <f t="shared" ref="BJ40:BN40" si="317">BJ19</f>
        <v>74994</v>
      </c>
      <c r="BK40" s="27">
        <f t="shared" si="317"/>
        <v>82495</v>
      </c>
      <c r="BL40" s="27">
        <f t="shared" si="317"/>
        <v>90746</v>
      </c>
      <c r="BM40" s="27">
        <f t="shared" si="317"/>
        <v>99822</v>
      </c>
      <c r="BN40" s="27">
        <f t="shared" si="317"/>
        <v>109806</v>
      </c>
    </row>
    <row r="41" spans="1:66" x14ac:dyDescent="0.3">
      <c r="C41" t="str">
        <f>C29</f>
        <v>Active Annual Subscribers</v>
      </c>
      <c r="G41" s="27">
        <f>G29</f>
        <v>55</v>
      </c>
      <c r="H41" s="27">
        <f t="shared" ref="H41:AD41" si="318">H29</f>
        <v>114</v>
      </c>
      <c r="I41" s="27">
        <f t="shared" si="318"/>
        <v>177</v>
      </c>
      <c r="J41" s="27">
        <f t="shared" si="318"/>
        <v>244</v>
      </c>
      <c r="K41" s="27">
        <f t="shared" si="318"/>
        <v>316</v>
      </c>
      <c r="L41" s="27">
        <f t="shared" si="318"/>
        <v>393</v>
      </c>
      <c r="M41" s="27">
        <f t="shared" si="318"/>
        <v>475</v>
      </c>
      <c r="N41" s="27">
        <f t="shared" si="318"/>
        <v>563</v>
      </c>
      <c r="O41" s="27">
        <f t="shared" si="318"/>
        <v>657</v>
      </c>
      <c r="P41" s="27">
        <f t="shared" si="318"/>
        <v>758</v>
      </c>
      <c r="Q41" s="27">
        <f t="shared" si="318"/>
        <v>866</v>
      </c>
      <c r="R41" s="27">
        <f t="shared" si="318"/>
        <v>982</v>
      </c>
      <c r="S41" s="27">
        <f t="shared" si="318"/>
        <v>1087</v>
      </c>
      <c r="T41" s="27">
        <f t="shared" si="318"/>
        <v>1199</v>
      </c>
      <c r="U41" s="27">
        <f t="shared" si="318"/>
        <v>1319</v>
      </c>
      <c r="V41" s="27">
        <f t="shared" si="318"/>
        <v>1448</v>
      </c>
      <c r="W41" s="27">
        <f t="shared" si="318"/>
        <v>1586</v>
      </c>
      <c r="X41" s="27">
        <f t="shared" si="318"/>
        <v>1733</v>
      </c>
      <c r="Y41" s="27">
        <f t="shared" si="318"/>
        <v>1890</v>
      </c>
      <c r="Z41" s="27">
        <f t="shared" si="318"/>
        <v>2058</v>
      </c>
      <c r="AA41" s="27">
        <f t="shared" si="318"/>
        <v>2238</v>
      </c>
      <c r="AB41" s="27">
        <f t="shared" si="318"/>
        <v>2431</v>
      </c>
      <c r="AC41" s="27">
        <f t="shared" si="318"/>
        <v>2637</v>
      </c>
      <c r="AD41" s="27">
        <f t="shared" si="318"/>
        <v>2857</v>
      </c>
      <c r="AE41" s="27">
        <f t="shared" ref="AE41:BC41" si="319">AE29</f>
        <v>3093</v>
      </c>
      <c r="AF41" s="27">
        <f t="shared" si="319"/>
        <v>3345</v>
      </c>
      <c r="AG41" s="27">
        <f t="shared" si="319"/>
        <v>3615</v>
      </c>
      <c r="AH41" s="27">
        <f t="shared" si="319"/>
        <v>3904</v>
      </c>
      <c r="AI41" s="27">
        <f t="shared" si="319"/>
        <v>4213</v>
      </c>
      <c r="AJ41" s="27">
        <f t="shared" si="319"/>
        <v>4544</v>
      </c>
      <c r="AK41" s="27">
        <f t="shared" si="319"/>
        <v>4898</v>
      </c>
      <c r="AL41" s="27">
        <f t="shared" si="319"/>
        <v>5276</v>
      </c>
      <c r="AM41" s="27">
        <f t="shared" si="319"/>
        <v>5680</v>
      </c>
      <c r="AN41" s="27">
        <f t="shared" si="319"/>
        <v>6113</v>
      </c>
      <c r="AO41" s="27">
        <f t="shared" si="319"/>
        <v>6577</v>
      </c>
      <c r="AP41" s="27">
        <f t="shared" si="319"/>
        <v>7073</v>
      </c>
      <c r="AQ41" s="27">
        <f t="shared" si="319"/>
        <v>7603</v>
      </c>
      <c r="AR41" s="27">
        <f t="shared" si="319"/>
        <v>8170</v>
      </c>
      <c r="AS41" s="27">
        <f t="shared" si="319"/>
        <v>8777</v>
      </c>
      <c r="AT41" s="27">
        <f t="shared" si="319"/>
        <v>9426</v>
      </c>
      <c r="AU41" s="27">
        <f t="shared" si="319"/>
        <v>10121</v>
      </c>
      <c r="AV41" s="27">
        <f t="shared" si="319"/>
        <v>10865</v>
      </c>
      <c r="AW41" s="27">
        <f t="shared" si="319"/>
        <v>11661</v>
      </c>
      <c r="AX41" s="27">
        <f t="shared" si="319"/>
        <v>12513</v>
      </c>
      <c r="AY41" s="27">
        <f t="shared" si="319"/>
        <v>13425</v>
      </c>
      <c r="AZ41" s="27">
        <f t="shared" si="319"/>
        <v>14401</v>
      </c>
      <c r="BA41" s="27">
        <f t="shared" si="319"/>
        <v>15446</v>
      </c>
      <c r="BB41" s="27">
        <f t="shared" si="319"/>
        <v>16565</v>
      </c>
      <c r="BC41" s="27">
        <f t="shared" si="319"/>
        <v>17762</v>
      </c>
      <c r="BD41" s="27">
        <f t="shared" ref="BD41:BI41" si="320">BD29</f>
        <v>19043</v>
      </c>
      <c r="BE41" s="27">
        <f t="shared" si="320"/>
        <v>20413</v>
      </c>
      <c r="BF41" s="27">
        <f t="shared" si="320"/>
        <v>21880</v>
      </c>
      <c r="BG41" s="27">
        <f t="shared" si="320"/>
        <v>23450</v>
      </c>
      <c r="BH41" s="27">
        <f t="shared" si="320"/>
        <v>25130</v>
      </c>
      <c r="BI41" s="27">
        <f t="shared" si="320"/>
        <v>26927</v>
      </c>
      <c r="BJ41" s="27">
        <f t="shared" ref="BJ41:BN41" si="321">BJ29</f>
        <v>28850</v>
      </c>
      <c r="BK41" s="27">
        <f t="shared" si="321"/>
        <v>30907</v>
      </c>
      <c r="BL41" s="27">
        <f t="shared" si="321"/>
        <v>33107</v>
      </c>
      <c r="BM41" s="27">
        <f t="shared" si="321"/>
        <v>35461</v>
      </c>
      <c r="BN41" s="27">
        <f t="shared" si="321"/>
        <v>37980</v>
      </c>
    </row>
    <row r="42" spans="1:66" x14ac:dyDescent="0.3">
      <c r="C42" s="35" t="s">
        <v>61</v>
      </c>
      <c r="D42" s="35"/>
      <c r="E42" s="35"/>
      <c r="F42" s="35"/>
      <c r="G42" s="36">
        <f>SUM(G40:G41)</f>
        <v>145</v>
      </c>
      <c r="H42" s="36">
        <f t="shared" ref="H42:AD42" si="322">SUM(H40:H41)</f>
        <v>289</v>
      </c>
      <c r="I42" s="36">
        <f t="shared" si="322"/>
        <v>435</v>
      </c>
      <c r="J42" s="36">
        <f t="shared" si="322"/>
        <v>583</v>
      </c>
      <c r="K42" s="36">
        <f t="shared" si="322"/>
        <v>736</v>
      </c>
      <c r="L42" s="36">
        <f t="shared" si="322"/>
        <v>895</v>
      </c>
      <c r="M42" s="36">
        <f t="shared" si="322"/>
        <v>1062</v>
      </c>
      <c r="N42" s="36">
        <f t="shared" si="322"/>
        <v>1238</v>
      </c>
      <c r="O42" s="36">
        <f t="shared" si="322"/>
        <v>1425</v>
      </c>
      <c r="P42" s="36">
        <f t="shared" si="322"/>
        <v>1624</v>
      </c>
      <c r="Q42" s="36">
        <f t="shared" si="322"/>
        <v>1836</v>
      </c>
      <c r="R42" s="36">
        <f t="shared" si="322"/>
        <v>2063</v>
      </c>
      <c r="S42" s="36">
        <f t="shared" si="322"/>
        <v>2289</v>
      </c>
      <c r="T42" s="36">
        <f t="shared" si="322"/>
        <v>2532</v>
      </c>
      <c r="U42" s="36">
        <f t="shared" si="322"/>
        <v>2794</v>
      </c>
      <c r="V42" s="36">
        <f t="shared" si="322"/>
        <v>3078</v>
      </c>
      <c r="W42" s="36">
        <f t="shared" si="322"/>
        <v>3385</v>
      </c>
      <c r="X42" s="36">
        <f t="shared" si="322"/>
        <v>3717</v>
      </c>
      <c r="Y42" s="36">
        <f t="shared" si="322"/>
        <v>4077</v>
      </c>
      <c r="Z42" s="36">
        <f t="shared" si="322"/>
        <v>4468</v>
      </c>
      <c r="AA42" s="36">
        <f t="shared" si="322"/>
        <v>4892</v>
      </c>
      <c r="AB42" s="36">
        <f t="shared" si="322"/>
        <v>5354</v>
      </c>
      <c r="AC42" s="36">
        <f t="shared" si="322"/>
        <v>5856</v>
      </c>
      <c r="AD42" s="36">
        <f t="shared" si="322"/>
        <v>6400</v>
      </c>
      <c r="AE42" s="36">
        <f t="shared" ref="AE42:BC42" si="323">SUM(AE40:AE41)</f>
        <v>6993</v>
      </c>
      <c r="AF42" s="36">
        <f t="shared" si="323"/>
        <v>7637</v>
      </c>
      <c r="AG42" s="36">
        <f t="shared" si="323"/>
        <v>8338</v>
      </c>
      <c r="AH42" s="36">
        <f t="shared" si="323"/>
        <v>9102</v>
      </c>
      <c r="AI42" s="36">
        <f t="shared" si="323"/>
        <v>9932</v>
      </c>
      <c r="AJ42" s="36">
        <f t="shared" si="323"/>
        <v>10836</v>
      </c>
      <c r="AK42" s="36">
        <f t="shared" si="323"/>
        <v>11820</v>
      </c>
      <c r="AL42" s="36">
        <f t="shared" si="323"/>
        <v>12891</v>
      </c>
      <c r="AM42" s="36">
        <f t="shared" si="323"/>
        <v>14057</v>
      </c>
      <c r="AN42" s="36">
        <f t="shared" si="323"/>
        <v>15327</v>
      </c>
      <c r="AO42" s="36">
        <f t="shared" si="323"/>
        <v>16712</v>
      </c>
      <c r="AP42" s="36">
        <f t="shared" si="323"/>
        <v>18221</v>
      </c>
      <c r="AQ42" s="36">
        <f t="shared" si="323"/>
        <v>19865</v>
      </c>
      <c r="AR42" s="36">
        <f t="shared" si="323"/>
        <v>21658</v>
      </c>
      <c r="AS42" s="36">
        <f t="shared" si="323"/>
        <v>23614</v>
      </c>
      <c r="AT42" s="36">
        <f t="shared" si="323"/>
        <v>25746</v>
      </c>
      <c r="AU42" s="36">
        <f t="shared" si="323"/>
        <v>28073</v>
      </c>
      <c r="AV42" s="36">
        <f t="shared" si="323"/>
        <v>30612</v>
      </c>
      <c r="AW42" s="36">
        <f t="shared" si="323"/>
        <v>33383</v>
      </c>
      <c r="AX42" s="36">
        <f t="shared" si="323"/>
        <v>36408</v>
      </c>
      <c r="AY42" s="36">
        <f t="shared" si="323"/>
        <v>39710</v>
      </c>
      <c r="AZ42" s="36">
        <f t="shared" si="323"/>
        <v>43314</v>
      </c>
      <c r="BA42" s="36">
        <f t="shared" si="323"/>
        <v>47250</v>
      </c>
      <c r="BB42" s="36">
        <f t="shared" si="323"/>
        <v>51549</v>
      </c>
      <c r="BC42" s="36">
        <f t="shared" si="323"/>
        <v>56244</v>
      </c>
      <c r="BD42" s="36">
        <f t="shared" ref="BD42:BI42" si="324">SUM(BD40:BD41)</f>
        <v>61374</v>
      </c>
      <c r="BE42" s="36">
        <f t="shared" si="324"/>
        <v>66977</v>
      </c>
      <c r="BF42" s="36">
        <f t="shared" si="324"/>
        <v>73100</v>
      </c>
      <c r="BG42" s="36">
        <f t="shared" si="324"/>
        <v>79792</v>
      </c>
      <c r="BH42" s="36">
        <f t="shared" si="324"/>
        <v>87107</v>
      </c>
      <c r="BI42" s="36">
        <f t="shared" si="324"/>
        <v>95102</v>
      </c>
      <c r="BJ42" s="36">
        <f t="shared" ref="BJ42:BN42" si="325">SUM(BJ40:BJ41)</f>
        <v>103844</v>
      </c>
      <c r="BK42" s="36">
        <f t="shared" si="325"/>
        <v>113402</v>
      </c>
      <c r="BL42" s="36">
        <f t="shared" si="325"/>
        <v>123853</v>
      </c>
      <c r="BM42" s="36">
        <f t="shared" si="325"/>
        <v>135283</v>
      </c>
      <c r="BN42" s="36">
        <f t="shared" si="325"/>
        <v>147786</v>
      </c>
    </row>
    <row r="43" spans="1:66" x14ac:dyDescent="0.3"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</row>
    <row r="44" spans="1:66" x14ac:dyDescent="0.3">
      <c r="A44" s="22" t="s">
        <v>0</v>
      </c>
      <c r="B44" s="22" t="s">
        <v>0</v>
      </c>
      <c r="C44" s="4" t="s">
        <v>30</v>
      </c>
    </row>
    <row r="45" spans="1:66" ht="3" customHeight="1" x14ac:dyDescent="0.3"/>
    <row r="46" spans="1:66" ht="14.4" customHeight="1" x14ac:dyDescent="0.3">
      <c r="B46" s="22" t="s">
        <v>0</v>
      </c>
      <c r="C46" s="23" t="s">
        <v>16</v>
      </c>
      <c r="E46" s="63"/>
    </row>
    <row r="47" spans="1:66" ht="3" customHeight="1" x14ac:dyDescent="0.3"/>
    <row r="48" spans="1:66" ht="14.4" customHeight="1" x14ac:dyDescent="0.3">
      <c r="C48" t="str">
        <f>C19</f>
        <v>Active Monthly Subscribers</v>
      </c>
      <c r="G48" s="27">
        <f>G19</f>
        <v>90</v>
      </c>
      <c r="H48" s="27">
        <f t="shared" ref="H48:AD48" si="326">H19</f>
        <v>175</v>
      </c>
      <c r="I48" s="27">
        <f t="shared" si="326"/>
        <v>258</v>
      </c>
      <c r="J48" s="27">
        <f t="shared" si="326"/>
        <v>339</v>
      </c>
      <c r="K48" s="27">
        <f t="shared" si="326"/>
        <v>420</v>
      </c>
      <c r="L48" s="27">
        <f t="shared" si="326"/>
        <v>502</v>
      </c>
      <c r="M48" s="27">
        <f t="shared" si="326"/>
        <v>587</v>
      </c>
      <c r="N48" s="27">
        <f t="shared" si="326"/>
        <v>675</v>
      </c>
      <c r="O48" s="27">
        <f t="shared" si="326"/>
        <v>768</v>
      </c>
      <c r="P48" s="27">
        <f t="shared" si="326"/>
        <v>866</v>
      </c>
      <c r="Q48" s="27">
        <f t="shared" si="326"/>
        <v>970</v>
      </c>
      <c r="R48" s="27">
        <f t="shared" si="326"/>
        <v>1081</v>
      </c>
      <c r="S48" s="27">
        <f t="shared" si="326"/>
        <v>1202</v>
      </c>
      <c r="T48" s="27">
        <f t="shared" si="326"/>
        <v>1333</v>
      </c>
      <c r="U48" s="27">
        <f t="shared" si="326"/>
        <v>1475</v>
      </c>
      <c r="V48" s="27">
        <f t="shared" si="326"/>
        <v>1630</v>
      </c>
      <c r="W48" s="27">
        <f t="shared" si="326"/>
        <v>1799</v>
      </c>
      <c r="X48" s="27">
        <f t="shared" si="326"/>
        <v>1984</v>
      </c>
      <c r="Y48" s="27">
        <f t="shared" si="326"/>
        <v>2187</v>
      </c>
      <c r="Z48" s="27">
        <f t="shared" si="326"/>
        <v>2410</v>
      </c>
      <c r="AA48" s="27">
        <f t="shared" si="326"/>
        <v>2654</v>
      </c>
      <c r="AB48" s="27">
        <f t="shared" si="326"/>
        <v>2923</v>
      </c>
      <c r="AC48" s="27">
        <f t="shared" si="326"/>
        <v>3219</v>
      </c>
      <c r="AD48" s="27">
        <f t="shared" si="326"/>
        <v>3543</v>
      </c>
      <c r="AE48" s="27">
        <f t="shared" ref="AE48:BC48" si="327">AE19</f>
        <v>3900</v>
      </c>
      <c r="AF48" s="27">
        <f t="shared" si="327"/>
        <v>4292</v>
      </c>
      <c r="AG48" s="27">
        <f t="shared" si="327"/>
        <v>4723</v>
      </c>
      <c r="AH48" s="27">
        <f t="shared" si="327"/>
        <v>5198</v>
      </c>
      <c r="AI48" s="27">
        <f t="shared" si="327"/>
        <v>5719</v>
      </c>
      <c r="AJ48" s="27">
        <f t="shared" si="327"/>
        <v>6292</v>
      </c>
      <c r="AK48" s="27">
        <f t="shared" si="327"/>
        <v>6922</v>
      </c>
      <c r="AL48" s="27">
        <f t="shared" si="327"/>
        <v>7615</v>
      </c>
      <c r="AM48" s="27">
        <f t="shared" si="327"/>
        <v>8377</v>
      </c>
      <c r="AN48" s="27">
        <f t="shared" si="327"/>
        <v>9214</v>
      </c>
      <c r="AO48" s="27">
        <f t="shared" si="327"/>
        <v>10135</v>
      </c>
      <c r="AP48" s="27">
        <f t="shared" si="327"/>
        <v>11148</v>
      </c>
      <c r="AQ48" s="27">
        <f t="shared" si="327"/>
        <v>12262</v>
      </c>
      <c r="AR48" s="27">
        <f t="shared" si="327"/>
        <v>13488</v>
      </c>
      <c r="AS48" s="27">
        <f t="shared" si="327"/>
        <v>14837</v>
      </c>
      <c r="AT48" s="27">
        <f t="shared" si="327"/>
        <v>16320</v>
      </c>
      <c r="AU48" s="27">
        <f t="shared" si="327"/>
        <v>17952</v>
      </c>
      <c r="AV48" s="27">
        <f t="shared" si="327"/>
        <v>19747</v>
      </c>
      <c r="AW48" s="27">
        <f t="shared" si="327"/>
        <v>21722</v>
      </c>
      <c r="AX48" s="27">
        <f t="shared" si="327"/>
        <v>23895</v>
      </c>
      <c r="AY48" s="27">
        <f t="shared" si="327"/>
        <v>26285</v>
      </c>
      <c r="AZ48" s="27">
        <f t="shared" si="327"/>
        <v>28913</v>
      </c>
      <c r="BA48" s="27">
        <f t="shared" si="327"/>
        <v>31804</v>
      </c>
      <c r="BB48" s="27">
        <f t="shared" si="327"/>
        <v>34984</v>
      </c>
      <c r="BC48" s="27">
        <f t="shared" si="327"/>
        <v>38482</v>
      </c>
      <c r="BD48" s="27">
        <f t="shared" ref="BD48:BI48" si="328">BD19</f>
        <v>42331</v>
      </c>
      <c r="BE48" s="27">
        <f t="shared" si="328"/>
        <v>46564</v>
      </c>
      <c r="BF48" s="27">
        <f t="shared" si="328"/>
        <v>51220</v>
      </c>
      <c r="BG48" s="27">
        <f t="shared" si="328"/>
        <v>56342</v>
      </c>
      <c r="BH48" s="27">
        <f t="shared" si="328"/>
        <v>61977</v>
      </c>
      <c r="BI48" s="27">
        <f t="shared" si="328"/>
        <v>68175</v>
      </c>
      <c r="BJ48" s="27">
        <f t="shared" ref="BJ48:BN48" si="329">BJ19</f>
        <v>74994</v>
      </c>
      <c r="BK48" s="27">
        <f t="shared" si="329"/>
        <v>82495</v>
      </c>
      <c r="BL48" s="27">
        <f t="shared" si="329"/>
        <v>90746</v>
      </c>
      <c r="BM48" s="27">
        <f t="shared" si="329"/>
        <v>99822</v>
      </c>
      <c r="BN48" s="27">
        <f t="shared" si="329"/>
        <v>109806</v>
      </c>
    </row>
    <row r="49" spans="2:66" x14ac:dyDescent="0.3">
      <c r="C49" s="24" t="s">
        <v>31</v>
      </c>
      <c r="E49" s="143">
        <f>Assumptions!E10</f>
        <v>30</v>
      </c>
      <c r="G49" s="37">
        <f t="shared" ref="G49:BN49" si="330">$E$49</f>
        <v>30</v>
      </c>
      <c r="H49" s="37">
        <f t="shared" si="330"/>
        <v>30</v>
      </c>
      <c r="I49" s="37">
        <f t="shared" si="330"/>
        <v>30</v>
      </c>
      <c r="J49" s="37">
        <f t="shared" si="330"/>
        <v>30</v>
      </c>
      <c r="K49" s="37">
        <f t="shared" si="330"/>
        <v>30</v>
      </c>
      <c r="L49" s="37">
        <f t="shared" si="330"/>
        <v>30</v>
      </c>
      <c r="M49" s="37">
        <f t="shared" si="330"/>
        <v>30</v>
      </c>
      <c r="N49" s="37">
        <f t="shared" si="330"/>
        <v>30</v>
      </c>
      <c r="O49" s="37">
        <f t="shared" si="330"/>
        <v>30</v>
      </c>
      <c r="P49" s="37">
        <f t="shared" si="330"/>
        <v>30</v>
      </c>
      <c r="Q49" s="37">
        <f t="shared" si="330"/>
        <v>30</v>
      </c>
      <c r="R49" s="37">
        <f t="shared" si="330"/>
        <v>30</v>
      </c>
      <c r="S49" s="37">
        <f t="shared" si="330"/>
        <v>30</v>
      </c>
      <c r="T49" s="37">
        <f t="shared" si="330"/>
        <v>30</v>
      </c>
      <c r="U49" s="37">
        <f t="shared" si="330"/>
        <v>30</v>
      </c>
      <c r="V49" s="37">
        <f t="shared" si="330"/>
        <v>30</v>
      </c>
      <c r="W49" s="37">
        <f t="shared" si="330"/>
        <v>30</v>
      </c>
      <c r="X49" s="37">
        <f t="shared" si="330"/>
        <v>30</v>
      </c>
      <c r="Y49" s="37">
        <f t="shared" si="330"/>
        <v>30</v>
      </c>
      <c r="Z49" s="37">
        <f t="shared" si="330"/>
        <v>30</v>
      </c>
      <c r="AA49" s="37">
        <f t="shared" si="330"/>
        <v>30</v>
      </c>
      <c r="AB49" s="37">
        <f t="shared" si="330"/>
        <v>30</v>
      </c>
      <c r="AC49" s="37">
        <f t="shared" si="330"/>
        <v>30</v>
      </c>
      <c r="AD49" s="37">
        <f t="shared" si="330"/>
        <v>30</v>
      </c>
      <c r="AE49" s="37">
        <f t="shared" si="330"/>
        <v>30</v>
      </c>
      <c r="AF49" s="37">
        <f t="shared" si="330"/>
        <v>30</v>
      </c>
      <c r="AG49" s="37">
        <f t="shared" si="330"/>
        <v>30</v>
      </c>
      <c r="AH49" s="37">
        <f t="shared" si="330"/>
        <v>30</v>
      </c>
      <c r="AI49" s="37">
        <f t="shared" si="330"/>
        <v>30</v>
      </c>
      <c r="AJ49" s="37">
        <f t="shared" si="330"/>
        <v>30</v>
      </c>
      <c r="AK49" s="37">
        <f t="shared" si="330"/>
        <v>30</v>
      </c>
      <c r="AL49" s="37">
        <f t="shared" si="330"/>
        <v>30</v>
      </c>
      <c r="AM49" s="37">
        <f t="shared" si="330"/>
        <v>30</v>
      </c>
      <c r="AN49" s="37">
        <f t="shared" si="330"/>
        <v>30</v>
      </c>
      <c r="AO49" s="37">
        <f t="shared" si="330"/>
        <v>30</v>
      </c>
      <c r="AP49" s="37">
        <f t="shared" si="330"/>
        <v>30</v>
      </c>
      <c r="AQ49" s="37">
        <f t="shared" si="330"/>
        <v>30</v>
      </c>
      <c r="AR49" s="37">
        <f t="shared" si="330"/>
        <v>30</v>
      </c>
      <c r="AS49" s="37">
        <f t="shared" si="330"/>
        <v>30</v>
      </c>
      <c r="AT49" s="37">
        <f t="shared" si="330"/>
        <v>30</v>
      </c>
      <c r="AU49" s="37">
        <f t="shared" si="330"/>
        <v>30</v>
      </c>
      <c r="AV49" s="37">
        <f t="shared" si="330"/>
        <v>30</v>
      </c>
      <c r="AW49" s="37">
        <f t="shared" si="330"/>
        <v>30</v>
      </c>
      <c r="AX49" s="37">
        <f t="shared" si="330"/>
        <v>30</v>
      </c>
      <c r="AY49" s="37">
        <f t="shared" si="330"/>
        <v>30</v>
      </c>
      <c r="AZ49" s="37">
        <f t="shared" si="330"/>
        <v>30</v>
      </c>
      <c r="BA49" s="37">
        <f t="shared" si="330"/>
        <v>30</v>
      </c>
      <c r="BB49" s="37">
        <f t="shared" si="330"/>
        <v>30</v>
      </c>
      <c r="BC49" s="37">
        <f t="shared" si="330"/>
        <v>30</v>
      </c>
      <c r="BD49" s="37">
        <f t="shared" si="330"/>
        <v>30</v>
      </c>
      <c r="BE49" s="37">
        <f t="shared" si="330"/>
        <v>30</v>
      </c>
      <c r="BF49" s="37">
        <f t="shared" si="330"/>
        <v>30</v>
      </c>
      <c r="BG49" s="37">
        <f t="shared" si="330"/>
        <v>30</v>
      </c>
      <c r="BH49" s="37">
        <f t="shared" si="330"/>
        <v>30</v>
      </c>
      <c r="BI49" s="37">
        <f t="shared" si="330"/>
        <v>30</v>
      </c>
      <c r="BJ49" s="37">
        <f t="shared" si="330"/>
        <v>30</v>
      </c>
      <c r="BK49" s="37">
        <f t="shared" si="330"/>
        <v>30</v>
      </c>
      <c r="BL49" s="37">
        <f t="shared" si="330"/>
        <v>30</v>
      </c>
      <c r="BM49" s="37">
        <f t="shared" si="330"/>
        <v>30</v>
      </c>
      <c r="BN49" s="37">
        <f t="shared" si="330"/>
        <v>30</v>
      </c>
    </row>
    <row r="50" spans="2:66" x14ac:dyDescent="0.3">
      <c r="C50" s="31" t="s">
        <v>34</v>
      </c>
      <c r="D50" s="32"/>
      <c r="E50" s="32"/>
      <c r="F50" s="32"/>
      <c r="G50" s="39">
        <f>G48*G49</f>
        <v>2700</v>
      </c>
      <c r="H50" s="39">
        <f t="shared" ref="H50:AD50" si="331">H48*H49</f>
        <v>5250</v>
      </c>
      <c r="I50" s="39">
        <f t="shared" si="331"/>
        <v>7740</v>
      </c>
      <c r="J50" s="39">
        <f t="shared" si="331"/>
        <v>10170</v>
      </c>
      <c r="K50" s="39">
        <f t="shared" si="331"/>
        <v>12600</v>
      </c>
      <c r="L50" s="39">
        <f t="shared" si="331"/>
        <v>15060</v>
      </c>
      <c r="M50" s="39">
        <f t="shared" si="331"/>
        <v>17610</v>
      </c>
      <c r="N50" s="39">
        <f t="shared" si="331"/>
        <v>20250</v>
      </c>
      <c r="O50" s="39">
        <f t="shared" si="331"/>
        <v>23040</v>
      </c>
      <c r="P50" s="39">
        <f t="shared" si="331"/>
        <v>25980</v>
      </c>
      <c r="Q50" s="39">
        <f t="shared" si="331"/>
        <v>29100</v>
      </c>
      <c r="R50" s="39">
        <f t="shared" si="331"/>
        <v>32430</v>
      </c>
      <c r="S50" s="39">
        <f t="shared" si="331"/>
        <v>36060</v>
      </c>
      <c r="T50" s="39">
        <f t="shared" si="331"/>
        <v>39990</v>
      </c>
      <c r="U50" s="39">
        <f t="shared" si="331"/>
        <v>44250</v>
      </c>
      <c r="V50" s="39">
        <f t="shared" si="331"/>
        <v>48900</v>
      </c>
      <c r="W50" s="39">
        <f t="shared" si="331"/>
        <v>53970</v>
      </c>
      <c r="X50" s="39">
        <f t="shared" si="331"/>
        <v>59520</v>
      </c>
      <c r="Y50" s="39">
        <f t="shared" si="331"/>
        <v>65610</v>
      </c>
      <c r="Z50" s="39">
        <f t="shared" si="331"/>
        <v>72300</v>
      </c>
      <c r="AA50" s="39">
        <f t="shared" si="331"/>
        <v>79620</v>
      </c>
      <c r="AB50" s="39">
        <f t="shared" si="331"/>
        <v>87690</v>
      </c>
      <c r="AC50" s="39">
        <f t="shared" si="331"/>
        <v>96570</v>
      </c>
      <c r="AD50" s="39">
        <f t="shared" si="331"/>
        <v>106290</v>
      </c>
      <c r="AE50" s="39">
        <f t="shared" ref="AE50:BC50" si="332">AE48*AE49</f>
        <v>117000</v>
      </c>
      <c r="AF50" s="39">
        <f t="shared" si="332"/>
        <v>128760</v>
      </c>
      <c r="AG50" s="39">
        <f t="shared" si="332"/>
        <v>141690</v>
      </c>
      <c r="AH50" s="39">
        <f t="shared" si="332"/>
        <v>155940</v>
      </c>
      <c r="AI50" s="39">
        <f t="shared" si="332"/>
        <v>171570</v>
      </c>
      <c r="AJ50" s="39">
        <f t="shared" si="332"/>
        <v>188760</v>
      </c>
      <c r="AK50" s="39">
        <f t="shared" si="332"/>
        <v>207660</v>
      </c>
      <c r="AL50" s="39">
        <f t="shared" si="332"/>
        <v>228450</v>
      </c>
      <c r="AM50" s="39">
        <f t="shared" si="332"/>
        <v>251310</v>
      </c>
      <c r="AN50" s="39">
        <f t="shared" si="332"/>
        <v>276420</v>
      </c>
      <c r="AO50" s="39">
        <f t="shared" si="332"/>
        <v>304050</v>
      </c>
      <c r="AP50" s="39">
        <f t="shared" si="332"/>
        <v>334440</v>
      </c>
      <c r="AQ50" s="39">
        <f t="shared" si="332"/>
        <v>367860</v>
      </c>
      <c r="AR50" s="39">
        <f t="shared" si="332"/>
        <v>404640</v>
      </c>
      <c r="AS50" s="39">
        <f t="shared" si="332"/>
        <v>445110</v>
      </c>
      <c r="AT50" s="39">
        <f t="shared" si="332"/>
        <v>489600</v>
      </c>
      <c r="AU50" s="39">
        <f t="shared" si="332"/>
        <v>538560</v>
      </c>
      <c r="AV50" s="39">
        <f t="shared" si="332"/>
        <v>592410</v>
      </c>
      <c r="AW50" s="39">
        <f t="shared" si="332"/>
        <v>651660</v>
      </c>
      <c r="AX50" s="39">
        <f t="shared" si="332"/>
        <v>716850</v>
      </c>
      <c r="AY50" s="39">
        <f t="shared" si="332"/>
        <v>788550</v>
      </c>
      <c r="AZ50" s="39">
        <f t="shared" si="332"/>
        <v>867390</v>
      </c>
      <c r="BA50" s="39">
        <f t="shared" si="332"/>
        <v>954120</v>
      </c>
      <c r="BB50" s="39">
        <f t="shared" si="332"/>
        <v>1049520</v>
      </c>
      <c r="BC50" s="39">
        <f t="shared" si="332"/>
        <v>1154460</v>
      </c>
      <c r="BD50" s="39">
        <f t="shared" ref="BD50:BI50" si="333">BD48*BD49</f>
        <v>1269930</v>
      </c>
      <c r="BE50" s="39">
        <f t="shared" si="333"/>
        <v>1396920</v>
      </c>
      <c r="BF50" s="39">
        <f t="shared" si="333"/>
        <v>1536600</v>
      </c>
      <c r="BG50" s="39">
        <f t="shared" si="333"/>
        <v>1690260</v>
      </c>
      <c r="BH50" s="39">
        <f t="shared" si="333"/>
        <v>1859310</v>
      </c>
      <c r="BI50" s="39">
        <f t="shared" si="333"/>
        <v>2045250</v>
      </c>
      <c r="BJ50" s="39">
        <f t="shared" ref="BJ50:BN50" si="334">BJ48*BJ49</f>
        <v>2249820</v>
      </c>
      <c r="BK50" s="39">
        <f t="shared" si="334"/>
        <v>2474850</v>
      </c>
      <c r="BL50" s="39">
        <f t="shared" si="334"/>
        <v>2722380</v>
      </c>
      <c r="BM50" s="39">
        <f t="shared" si="334"/>
        <v>2994660</v>
      </c>
      <c r="BN50" s="39">
        <f t="shared" si="334"/>
        <v>3294180</v>
      </c>
    </row>
    <row r="52" spans="2:66" x14ac:dyDescent="0.3">
      <c r="B52" s="22" t="s">
        <v>0</v>
      </c>
      <c r="C52" s="23" t="s">
        <v>20</v>
      </c>
      <c r="E52" s="63"/>
    </row>
    <row r="53" spans="2:66" ht="3" customHeight="1" x14ac:dyDescent="0.3">
      <c r="B53" s="22"/>
      <c r="C53" s="23"/>
    </row>
    <row r="54" spans="2:66" x14ac:dyDescent="0.3">
      <c r="C54" t="str">
        <f>C23</f>
        <v>New Annual Subscribers</v>
      </c>
      <c r="G54" s="27">
        <f t="shared" ref="G54:AD54" si="335">G23</f>
        <v>55</v>
      </c>
      <c r="H54" s="27">
        <f t="shared" si="335"/>
        <v>59</v>
      </c>
      <c r="I54" s="27">
        <f t="shared" si="335"/>
        <v>63</v>
      </c>
      <c r="J54" s="27">
        <f t="shared" si="335"/>
        <v>67</v>
      </c>
      <c r="K54" s="27">
        <f t="shared" si="335"/>
        <v>72</v>
      </c>
      <c r="L54" s="27">
        <f t="shared" si="335"/>
        <v>77</v>
      </c>
      <c r="M54" s="27">
        <f t="shared" si="335"/>
        <v>82</v>
      </c>
      <c r="N54" s="27">
        <f t="shared" si="335"/>
        <v>88</v>
      </c>
      <c r="O54" s="27">
        <f t="shared" si="335"/>
        <v>94</v>
      </c>
      <c r="P54" s="27">
        <f t="shared" si="335"/>
        <v>101</v>
      </c>
      <c r="Q54" s="27">
        <f t="shared" si="335"/>
        <v>108</v>
      </c>
      <c r="R54" s="27">
        <f t="shared" si="335"/>
        <v>116</v>
      </c>
      <c r="S54" s="27">
        <f t="shared" si="335"/>
        <v>124</v>
      </c>
      <c r="T54" s="27">
        <f t="shared" si="335"/>
        <v>133</v>
      </c>
      <c r="U54" s="27">
        <f t="shared" si="335"/>
        <v>142</v>
      </c>
      <c r="V54" s="27">
        <f t="shared" si="335"/>
        <v>152</v>
      </c>
      <c r="W54" s="27">
        <f t="shared" si="335"/>
        <v>163</v>
      </c>
      <c r="X54" s="27">
        <f t="shared" si="335"/>
        <v>174</v>
      </c>
      <c r="Y54" s="27">
        <f t="shared" si="335"/>
        <v>186</v>
      </c>
      <c r="Z54" s="27">
        <f t="shared" si="335"/>
        <v>199</v>
      </c>
      <c r="AA54" s="27">
        <f t="shared" si="335"/>
        <v>213</v>
      </c>
      <c r="AB54" s="27">
        <f t="shared" si="335"/>
        <v>228</v>
      </c>
      <c r="AC54" s="27">
        <f t="shared" si="335"/>
        <v>244</v>
      </c>
      <c r="AD54" s="27">
        <f t="shared" si="335"/>
        <v>261</v>
      </c>
      <c r="AE54" s="27">
        <f t="shared" ref="AE54:BC54" si="336">AE23</f>
        <v>279</v>
      </c>
      <c r="AF54" s="27">
        <f t="shared" si="336"/>
        <v>299</v>
      </c>
      <c r="AG54" s="27">
        <f t="shared" si="336"/>
        <v>320</v>
      </c>
      <c r="AH54" s="27">
        <f t="shared" si="336"/>
        <v>342</v>
      </c>
      <c r="AI54" s="27">
        <f t="shared" si="336"/>
        <v>366</v>
      </c>
      <c r="AJ54" s="27">
        <f t="shared" si="336"/>
        <v>392</v>
      </c>
      <c r="AK54" s="27">
        <f t="shared" si="336"/>
        <v>419</v>
      </c>
      <c r="AL54" s="27">
        <f t="shared" si="336"/>
        <v>448</v>
      </c>
      <c r="AM54" s="27">
        <f t="shared" si="336"/>
        <v>479</v>
      </c>
      <c r="AN54" s="27">
        <f t="shared" si="336"/>
        <v>513</v>
      </c>
      <c r="AO54" s="27">
        <f t="shared" si="336"/>
        <v>549</v>
      </c>
      <c r="AP54" s="27">
        <f t="shared" si="336"/>
        <v>587</v>
      </c>
      <c r="AQ54" s="27">
        <f t="shared" si="336"/>
        <v>628</v>
      </c>
      <c r="AR54" s="27">
        <f t="shared" si="336"/>
        <v>672</v>
      </c>
      <c r="AS54" s="27">
        <f t="shared" si="336"/>
        <v>719</v>
      </c>
      <c r="AT54" s="27">
        <f t="shared" si="336"/>
        <v>769</v>
      </c>
      <c r="AU54" s="27">
        <f t="shared" si="336"/>
        <v>823</v>
      </c>
      <c r="AV54" s="27">
        <f t="shared" si="336"/>
        <v>881</v>
      </c>
      <c r="AW54" s="27">
        <f t="shared" si="336"/>
        <v>943</v>
      </c>
      <c r="AX54" s="27">
        <f t="shared" si="336"/>
        <v>1009</v>
      </c>
      <c r="AY54" s="27">
        <f t="shared" si="336"/>
        <v>1080</v>
      </c>
      <c r="AZ54" s="27">
        <f t="shared" si="336"/>
        <v>1156</v>
      </c>
      <c r="BA54" s="27">
        <f t="shared" si="336"/>
        <v>1237</v>
      </c>
      <c r="BB54" s="27">
        <f t="shared" si="336"/>
        <v>1324</v>
      </c>
      <c r="BC54" s="27">
        <f t="shared" si="336"/>
        <v>1417</v>
      </c>
      <c r="BD54" s="27">
        <f t="shared" ref="BD54:BI54" si="337">BD23</f>
        <v>1516</v>
      </c>
      <c r="BE54" s="27">
        <f t="shared" si="337"/>
        <v>1622</v>
      </c>
      <c r="BF54" s="27">
        <f t="shared" si="337"/>
        <v>1736</v>
      </c>
      <c r="BG54" s="27">
        <f t="shared" si="337"/>
        <v>1858</v>
      </c>
      <c r="BH54" s="27">
        <f t="shared" si="337"/>
        <v>1988</v>
      </c>
      <c r="BI54" s="27">
        <f t="shared" si="337"/>
        <v>2127</v>
      </c>
      <c r="BJ54" s="27">
        <f t="shared" ref="BJ54:BN54" si="338">BJ23</f>
        <v>2276</v>
      </c>
      <c r="BK54" s="27">
        <f t="shared" si="338"/>
        <v>2435</v>
      </c>
      <c r="BL54" s="27">
        <f t="shared" si="338"/>
        <v>2605</v>
      </c>
      <c r="BM54" s="27">
        <f t="shared" si="338"/>
        <v>2787</v>
      </c>
      <c r="BN54" s="27">
        <f t="shared" si="338"/>
        <v>2982</v>
      </c>
    </row>
    <row r="55" spans="2:66" x14ac:dyDescent="0.3">
      <c r="C55" s="24" t="s">
        <v>39</v>
      </c>
      <c r="G55" s="27">
        <f>G30</f>
        <v>0</v>
      </c>
      <c r="H55" s="27">
        <f t="shared" ref="H55:AD55" si="339">H30</f>
        <v>0</v>
      </c>
      <c r="I55" s="27">
        <f t="shared" si="339"/>
        <v>0</v>
      </c>
      <c r="J55" s="27">
        <f t="shared" si="339"/>
        <v>0</v>
      </c>
      <c r="K55" s="27">
        <f t="shared" si="339"/>
        <v>0</v>
      </c>
      <c r="L55" s="27">
        <f t="shared" si="339"/>
        <v>0</v>
      </c>
      <c r="M55" s="27">
        <f t="shared" si="339"/>
        <v>0</v>
      </c>
      <c r="N55" s="27">
        <f t="shared" si="339"/>
        <v>0</v>
      </c>
      <c r="O55" s="27">
        <f t="shared" si="339"/>
        <v>0</v>
      </c>
      <c r="P55" s="27">
        <f t="shared" si="339"/>
        <v>0</v>
      </c>
      <c r="Q55" s="27">
        <f t="shared" si="339"/>
        <v>0</v>
      </c>
      <c r="R55" s="27">
        <f t="shared" si="339"/>
        <v>0</v>
      </c>
      <c r="S55" s="27">
        <f t="shared" si="339"/>
        <v>36</v>
      </c>
      <c r="T55" s="27">
        <f t="shared" si="339"/>
        <v>38</v>
      </c>
      <c r="U55" s="27">
        <f t="shared" si="339"/>
        <v>41</v>
      </c>
      <c r="V55" s="27">
        <f t="shared" si="339"/>
        <v>44</v>
      </c>
      <c r="W55" s="27">
        <f t="shared" si="339"/>
        <v>47</v>
      </c>
      <c r="X55" s="27">
        <f t="shared" si="339"/>
        <v>50</v>
      </c>
      <c r="Y55" s="27">
        <f t="shared" si="339"/>
        <v>53</v>
      </c>
      <c r="Z55" s="27">
        <f t="shared" si="339"/>
        <v>57</v>
      </c>
      <c r="AA55" s="27">
        <f t="shared" si="339"/>
        <v>61</v>
      </c>
      <c r="AB55" s="27">
        <f t="shared" si="339"/>
        <v>66</v>
      </c>
      <c r="AC55" s="27">
        <f t="shared" si="339"/>
        <v>70</v>
      </c>
      <c r="AD55" s="27">
        <f t="shared" si="339"/>
        <v>75</v>
      </c>
      <c r="AE55" s="27">
        <f t="shared" ref="AE55:BC55" si="340">AE30</f>
        <v>81</v>
      </c>
      <c r="AF55" s="27">
        <f t="shared" si="340"/>
        <v>86</v>
      </c>
      <c r="AG55" s="27">
        <f t="shared" si="340"/>
        <v>92</v>
      </c>
      <c r="AH55" s="27">
        <f t="shared" si="340"/>
        <v>99</v>
      </c>
      <c r="AI55" s="27">
        <f t="shared" si="340"/>
        <v>106</v>
      </c>
      <c r="AJ55" s="27">
        <f t="shared" si="340"/>
        <v>113</v>
      </c>
      <c r="AK55" s="27">
        <f t="shared" si="340"/>
        <v>121</v>
      </c>
      <c r="AL55" s="27">
        <f t="shared" si="340"/>
        <v>129</v>
      </c>
      <c r="AM55" s="27">
        <f t="shared" si="340"/>
        <v>138</v>
      </c>
      <c r="AN55" s="27">
        <f t="shared" si="340"/>
        <v>148</v>
      </c>
      <c r="AO55" s="27">
        <f t="shared" si="340"/>
        <v>159</v>
      </c>
      <c r="AP55" s="27">
        <f t="shared" si="340"/>
        <v>170</v>
      </c>
      <c r="AQ55" s="27">
        <f t="shared" si="340"/>
        <v>181</v>
      </c>
      <c r="AR55" s="27">
        <f t="shared" si="340"/>
        <v>194</v>
      </c>
      <c r="AS55" s="27">
        <f t="shared" si="340"/>
        <v>208</v>
      </c>
      <c r="AT55" s="27">
        <f t="shared" si="340"/>
        <v>222</v>
      </c>
      <c r="AU55" s="27">
        <f t="shared" si="340"/>
        <v>238</v>
      </c>
      <c r="AV55" s="27">
        <f t="shared" si="340"/>
        <v>255</v>
      </c>
      <c r="AW55" s="27">
        <f t="shared" si="340"/>
        <v>272</v>
      </c>
      <c r="AX55" s="27">
        <f t="shared" si="340"/>
        <v>291</v>
      </c>
      <c r="AY55" s="27">
        <f t="shared" si="340"/>
        <v>311</v>
      </c>
      <c r="AZ55" s="27">
        <f t="shared" si="340"/>
        <v>333</v>
      </c>
      <c r="BA55" s="27">
        <f t="shared" si="340"/>
        <v>357</v>
      </c>
      <c r="BB55" s="27">
        <f t="shared" si="340"/>
        <v>382</v>
      </c>
      <c r="BC55" s="27">
        <f t="shared" si="340"/>
        <v>408</v>
      </c>
      <c r="BD55" s="27">
        <f t="shared" ref="BD55:BI55" si="341">BD30</f>
        <v>437</v>
      </c>
      <c r="BE55" s="27">
        <f t="shared" si="341"/>
        <v>467</v>
      </c>
      <c r="BF55" s="27">
        <f t="shared" si="341"/>
        <v>500</v>
      </c>
      <c r="BG55" s="27">
        <f t="shared" si="341"/>
        <v>535</v>
      </c>
      <c r="BH55" s="27">
        <f t="shared" si="341"/>
        <v>573</v>
      </c>
      <c r="BI55" s="27">
        <f t="shared" si="341"/>
        <v>613</v>
      </c>
      <c r="BJ55" s="27">
        <f t="shared" ref="BJ55:BN55" si="342">BJ30</f>
        <v>656</v>
      </c>
      <c r="BK55" s="27">
        <f t="shared" si="342"/>
        <v>702</v>
      </c>
      <c r="BL55" s="27">
        <f t="shared" si="342"/>
        <v>751</v>
      </c>
      <c r="BM55" s="27">
        <f t="shared" si="342"/>
        <v>804</v>
      </c>
      <c r="BN55" s="27">
        <f t="shared" si="342"/>
        <v>861</v>
      </c>
    </row>
    <row r="56" spans="2:66" x14ac:dyDescent="0.3">
      <c r="C56" s="44" t="s">
        <v>40</v>
      </c>
      <c r="D56" s="44"/>
      <c r="E56" s="44"/>
      <c r="F56" s="44"/>
      <c r="G56" s="45">
        <f>SUM(G54:G55)</f>
        <v>55</v>
      </c>
      <c r="H56" s="45">
        <f t="shared" ref="H56:AD56" si="343">SUM(H54:H55)</f>
        <v>59</v>
      </c>
      <c r="I56" s="45">
        <f t="shared" si="343"/>
        <v>63</v>
      </c>
      <c r="J56" s="45">
        <f t="shared" si="343"/>
        <v>67</v>
      </c>
      <c r="K56" s="45">
        <f t="shared" si="343"/>
        <v>72</v>
      </c>
      <c r="L56" s="45">
        <f t="shared" si="343"/>
        <v>77</v>
      </c>
      <c r="M56" s="45">
        <f t="shared" si="343"/>
        <v>82</v>
      </c>
      <c r="N56" s="45">
        <f t="shared" si="343"/>
        <v>88</v>
      </c>
      <c r="O56" s="45">
        <f t="shared" si="343"/>
        <v>94</v>
      </c>
      <c r="P56" s="45">
        <f t="shared" si="343"/>
        <v>101</v>
      </c>
      <c r="Q56" s="45">
        <f t="shared" si="343"/>
        <v>108</v>
      </c>
      <c r="R56" s="45">
        <f t="shared" si="343"/>
        <v>116</v>
      </c>
      <c r="S56" s="45">
        <f t="shared" si="343"/>
        <v>160</v>
      </c>
      <c r="T56" s="45">
        <f t="shared" si="343"/>
        <v>171</v>
      </c>
      <c r="U56" s="45">
        <f t="shared" si="343"/>
        <v>183</v>
      </c>
      <c r="V56" s="45">
        <f t="shared" si="343"/>
        <v>196</v>
      </c>
      <c r="W56" s="45">
        <f t="shared" si="343"/>
        <v>210</v>
      </c>
      <c r="X56" s="45">
        <f t="shared" si="343"/>
        <v>224</v>
      </c>
      <c r="Y56" s="45">
        <f t="shared" si="343"/>
        <v>239</v>
      </c>
      <c r="Z56" s="45">
        <f t="shared" si="343"/>
        <v>256</v>
      </c>
      <c r="AA56" s="45">
        <f t="shared" si="343"/>
        <v>274</v>
      </c>
      <c r="AB56" s="45">
        <f t="shared" si="343"/>
        <v>294</v>
      </c>
      <c r="AC56" s="45">
        <f t="shared" si="343"/>
        <v>314</v>
      </c>
      <c r="AD56" s="45">
        <f t="shared" si="343"/>
        <v>336</v>
      </c>
      <c r="AE56" s="45">
        <f t="shared" ref="AE56:BC56" si="344">SUM(AE54:AE55)</f>
        <v>360</v>
      </c>
      <c r="AF56" s="45">
        <f t="shared" si="344"/>
        <v>385</v>
      </c>
      <c r="AG56" s="45">
        <f t="shared" si="344"/>
        <v>412</v>
      </c>
      <c r="AH56" s="45">
        <f t="shared" si="344"/>
        <v>441</v>
      </c>
      <c r="AI56" s="45">
        <f t="shared" si="344"/>
        <v>472</v>
      </c>
      <c r="AJ56" s="45">
        <f t="shared" si="344"/>
        <v>505</v>
      </c>
      <c r="AK56" s="45">
        <f t="shared" si="344"/>
        <v>540</v>
      </c>
      <c r="AL56" s="45">
        <f t="shared" si="344"/>
        <v>577</v>
      </c>
      <c r="AM56" s="45">
        <f t="shared" si="344"/>
        <v>617</v>
      </c>
      <c r="AN56" s="45">
        <f t="shared" si="344"/>
        <v>661</v>
      </c>
      <c r="AO56" s="45">
        <f t="shared" si="344"/>
        <v>708</v>
      </c>
      <c r="AP56" s="45">
        <f t="shared" si="344"/>
        <v>757</v>
      </c>
      <c r="AQ56" s="45">
        <f t="shared" si="344"/>
        <v>809</v>
      </c>
      <c r="AR56" s="45">
        <f t="shared" si="344"/>
        <v>866</v>
      </c>
      <c r="AS56" s="45">
        <f t="shared" si="344"/>
        <v>927</v>
      </c>
      <c r="AT56" s="45">
        <f t="shared" si="344"/>
        <v>991</v>
      </c>
      <c r="AU56" s="45">
        <f t="shared" si="344"/>
        <v>1061</v>
      </c>
      <c r="AV56" s="45">
        <f t="shared" si="344"/>
        <v>1136</v>
      </c>
      <c r="AW56" s="45">
        <f t="shared" si="344"/>
        <v>1215</v>
      </c>
      <c r="AX56" s="45">
        <f t="shared" si="344"/>
        <v>1300</v>
      </c>
      <c r="AY56" s="45">
        <f t="shared" si="344"/>
        <v>1391</v>
      </c>
      <c r="AZ56" s="45">
        <f t="shared" si="344"/>
        <v>1489</v>
      </c>
      <c r="BA56" s="45">
        <f t="shared" si="344"/>
        <v>1594</v>
      </c>
      <c r="BB56" s="45">
        <f t="shared" si="344"/>
        <v>1706</v>
      </c>
      <c r="BC56" s="45">
        <f t="shared" si="344"/>
        <v>1825</v>
      </c>
      <c r="BD56" s="45">
        <f t="shared" ref="BD56:BI56" si="345">SUM(BD54:BD55)</f>
        <v>1953</v>
      </c>
      <c r="BE56" s="45">
        <f t="shared" si="345"/>
        <v>2089</v>
      </c>
      <c r="BF56" s="45">
        <f t="shared" si="345"/>
        <v>2236</v>
      </c>
      <c r="BG56" s="45">
        <f t="shared" si="345"/>
        <v>2393</v>
      </c>
      <c r="BH56" s="45">
        <f t="shared" si="345"/>
        <v>2561</v>
      </c>
      <c r="BI56" s="45">
        <f t="shared" si="345"/>
        <v>2740</v>
      </c>
      <c r="BJ56" s="45">
        <f t="shared" ref="BJ56:BN56" si="346">SUM(BJ54:BJ55)</f>
        <v>2932</v>
      </c>
      <c r="BK56" s="45">
        <f t="shared" si="346"/>
        <v>3137</v>
      </c>
      <c r="BL56" s="45">
        <f t="shared" si="346"/>
        <v>3356</v>
      </c>
      <c r="BM56" s="45">
        <f t="shared" si="346"/>
        <v>3591</v>
      </c>
      <c r="BN56" s="45">
        <f t="shared" si="346"/>
        <v>3843</v>
      </c>
    </row>
    <row r="57" spans="2:66" x14ac:dyDescent="0.3">
      <c r="C57" s="24" t="s">
        <v>32</v>
      </c>
      <c r="E57" s="143">
        <f>Assumptions!E17</f>
        <v>330</v>
      </c>
      <c r="G57" s="37">
        <f t="shared" ref="G57:BN57" si="347">$E$57</f>
        <v>330</v>
      </c>
      <c r="H57" s="37">
        <f t="shared" si="347"/>
        <v>330</v>
      </c>
      <c r="I57" s="37">
        <f t="shared" si="347"/>
        <v>330</v>
      </c>
      <c r="J57" s="37">
        <f t="shared" si="347"/>
        <v>330</v>
      </c>
      <c r="K57" s="37">
        <f t="shared" si="347"/>
        <v>330</v>
      </c>
      <c r="L57" s="37">
        <f t="shared" si="347"/>
        <v>330</v>
      </c>
      <c r="M57" s="37">
        <f t="shared" si="347"/>
        <v>330</v>
      </c>
      <c r="N57" s="37">
        <f t="shared" si="347"/>
        <v>330</v>
      </c>
      <c r="O57" s="37">
        <f t="shared" si="347"/>
        <v>330</v>
      </c>
      <c r="P57" s="37">
        <f t="shared" si="347"/>
        <v>330</v>
      </c>
      <c r="Q57" s="37">
        <f t="shared" si="347"/>
        <v>330</v>
      </c>
      <c r="R57" s="37">
        <f t="shared" si="347"/>
        <v>330</v>
      </c>
      <c r="S57" s="37">
        <f t="shared" si="347"/>
        <v>330</v>
      </c>
      <c r="T57" s="37">
        <f t="shared" si="347"/>
        <v>330</v>
      </c>
      <c r="U57" s="37">
        <f t="shared" si="347"/>
        <v>330</v>
      </c>
      <c r="V57" s="37">
        <f t="shared" si="347"/>
        <v>330</v>
      </c>
      <c r="W57" s="37">
        <f t="shared" si="347"/>
        <v>330</v>
      </c>
      <c r="X57" s="37">
        <f t="shared" si="347"/>
        <v>330</v>
      </c>
      <c r="Y57" s="37">
        <f t="shared" si="347"/>
        <v>330</v>
      </c>
      <c r="Z57" s="37">
        <f t="shared" si="347"/>
        <v>330</v>
      </c>
      <c r="AA57" s="37">
        <f t="shared" si="347"/>
        <v>330</v>
      </c>
      <c r="AB57" s="37">
        <f t="shared" si="347"/>
        <v>330</v>
      </c>
      <c r="AC57" s="37">
        <f t="shared" si="347"/>
        <v>330</v>
      </c>
      <c r="AD57" s="37">
        <f t="shared" si="347"/>
        <v>330</v>
      </c>
      <c r="AE57" s="37">
        <f t="shared" si="347"/>
        <v>330</v>
      </c>
      <c r="AF57" s="37">
        <f t="shared" si="347"/>
        <v>330</v>
      </c>
      <c r="AG57" s="37">
        <f t="shared" si="347"/>
        <v>330</v>
      </c>
      <c r="AH57" s="37">
        <f t="shared" si="347"/>
        <v>330</v>
      </c>
      <c r="AI57" s="37">
        <f t="shared" si="347"/>
        <v>330</v>
      </c>
      <c r="AJ57" s="37">
        <f t="shared" si="347"/>
        <v>330</v>
      </c>
      <c r="AK57" s="37">
        <f t="shared" si="347"/>
        <v>330</v>
      </c>
      <c r="AL57" s="37">
        <f t="shared" si="347"/>
        <v>330</v>
      </c>
      <c r="AM57" s="37">
        <f t="shared" si="347"/>
        <v>330</v>
      </c>
      <c r="AN57" s="37">
        <f t="shared" si="347"/>
        <v>330</v>
      </c>
      <c r="AO57" s="37">
        <f t="shared" si="347"/>
        <v>330</v>
      </c>
      <c r="AP57" s="37">
        <f t="shared" si="347"/>
        <v>330</v>
      </c>
      <c r="AQ57" s="37">
        <f t="shared" si="347"/>
        <v>330</v>
      </c>
      <c r="AR57" s="37">
        <f t="shared" si="347"/>
        <v>330</v>
      </c>
      <c r="AS57" s="37">
        <f t="shared" si="347"/>
        <v>330</v>
      </c>
      <c r="AT57" s="37">
        <f t="shared" si="347"/>
        <v>330</v>
      </c>
      <c r="AU57" s="37">
        <f t="shared" si="347"/>
        <v>330</v>
      </c>
      <c r="AV57" s="37">
        <f t="shared" si="347"/>
        <v>330</v>
      </c>
      <c r="AW57" s="37">
        <f t="shared" si="347"/>
        <v>330</v>
      </c>
      <c r="AX57" s="37">
        <f t="shared" si="347"/>
        <v>330</v>
      </c>
      <c r="AY57" s="37">
        <f t="shared" si="347"/>
        <v>330</v>
      </c>
      <c r="AZ57" s="37">
        <f t="shared" si="347"/>
        <v>330</v>
      </c>
      <c r="BA57" s="37">
        <f t="shared" si="347"/>
        <v>330</v>
      </c>
      <c r="BB57" s="37">
        <f t="shared" si="347"/>
        <v>330</v>
      </c>
      <c r="BC57" s="37">
        <f t="shared" si="347"/>
        <v>330</v>
      </c>
      <c r="BD57" s="37">
        <f t="shared" si="347"/>
        <v>330</v>
      </c>
      <c r="BE57" s="37">
        <f t="shared" si="347"/>
        <v>330</v>
      </c>
      <c r="BF57" s="37">
        <f t="shared" si="347"/>
        <v>330</v>
      </c>
      <c r="BG57" s="37">
        <f t="shared" si="347"/>
        <v>330</v>
      </c>
      <c r="BH57" s="37">
        <f t="shared" si="347"/>
        <v>330</v>
      </c>
      <c r="BI57" s="37">
        <f t="shared" si="347"/>
        <v>330</v>
      </c>
      <c r="BJ57" s="37">
        <f t="shared" si="347"/>
        <v>330</v>
      </c>
      <c r="BK57" s="37">
        <f t="shared" si="347"/>
        <v>330</v>
      </c>
      <c r="BL57" s="37">
        <f t="shared" si="347"/>
        <v>330</v>
      </c>
      <c r="BM57" s="37">
        <f t="shared" si="347"/>
        <v>330</v>
      </c>
      <c r="BN57" s="37">
        <f t="shared" si="347"/>
        <v>330</v>
      </c>
    </row>
    <row r="58" spans="2:66" x14ac:dyDescent="0.3">
      <c r="C58" s="31" t="s">
        <v>36</v>
      </c>
      <c r="D58" s="32"/>
      <c r="E58" s="32"/>
      <c r="F58" s="32"/>
      <c r="G58" s="39">
        <f>G56*G57</f>
        <v>18150</v>
      </c>
      <c r="H58" s="39">
        <f t="shared" ref="H58:AD58" si="348">H56*H57</f>
        <v>19470</v>
      </c>
      <c r="I58" s="39">
        <f t="shared" si="348"/>
        <v>20790</v>
      </c>
      <c r="J58" s="39">
        <f t="shared" si="348"/>
        <v>22110</v>
      </c>
      <c r="K58" s="39">
        <f t="shared" si="348"/>
        <v>23760</v>
      </c>
      <c r="L58" s="39">
        <f t="shared" si="348"/>
        <v>25410</v>
      </c>
      <c r="M58" s="39">
        <f t="shared" si="348"/>
        <v>27060</v>
      </c>
      <c r="N58" s="39">
        <f t="shared" si="348"/>
        <v>29040</v>
      </c>
      <c r="O58" s="39">
        <f t="shared" si="348"/>
        <v>31020</v>
      </c>
      <c r="P58" s="39">
        <f t="shared" si="348"/>
        <v>33330</v>
      </c>
      <c r="Q58" s="39">
        <f t="shared" si="348"/>
        <v>35640</v>
      </c>
      <c r="R58" s="39">
        <f t="shared" si="348"/>
        <v>38280</v>
      </c>
      <c r="S58" s="39">
        <f t="shared" si="348"/>
        <v>52800</v>
      </c>
      <c r="T58" s="39">
        <f t="shared" si="348"/>
        <v>56430</v>
      </c>
      <c r="U58" s="39">
        <f t="shared" si="348"/>
        <v>60390</v>
      </c>
      <c r="V58" s="39">
        <f t="shared" si="348"/>
        <v>64680</v>
      </c>
      <c r="W58" s="39">
        <f t="shared" si="348"/>
        <v>69300</v>
      </c>
      <c r="X58" s="39">
        <f t="shared" si="348"/>
        <v>73920</v>
      </c>
      <c r="Y58" s="39">
        <f t="shared" si="348"/>
        <v>78870</v>
      </c>
      <c r="Z58" s="39">
        <f t="shared" si="348"/>
        <v>84480</v>
      </c>
      <c r="AA58" s="39">
        <f t="shared" si="348"/>
        <v>90420</v>
      </c>
      <c r="AB58" s="39">
        <f t="shared" si="348"/>
        <v>97020</v>
      </c>
      <c r="AC58" s="39">
        <f t="shared" si="348"/>
        <v>103620</v>
      </c>
      <c r="AD58" s="39">
        <f t="shared" si="348"/>
        <v>110880</v>
      </c>
      <c r="AE58" s="39">
        <f t="shared" ref="AE58:BC58" si="349">AE56*AE57</f>
        <v>118800</v>
      </c>
      <c r="AF58" s="39">
        <f t="shared" si="349"/>
        <v>127050</v>
      </c>
      <c r="AG58" s="39">
        <f t="shared" si="349"/>
        <v>135960</v>
      </c>
      <c r="AH58" s="39">
        <f t="shared" si="349"/>
        <v>145530</v>
      </c>
      <c r="AI58" s="39">
        <f t="shared" si="349"/>
        <v>155760</v>
      </c>
      <c r="AJ58" s="39">
        <f t="shared" si="349"/>
        <v>166650</v>
      </c>
      <c r="AK58" s="39">
        <f t="shared" si="349"/>
        <v>178200</v>
      </c>
      <c r="AL58" s="39">
        <f t="shared" si="349"/>
        <v>190410</v>
      </c>
      <c r="AM58" s="39">
        <f t="shared" si="349"/>
        <v>203610</v>
      </c>
      <c r="AN58" s="39">
        <f t="shared" si="349"/>
        <v>218130</v>
      </c>
      <c r="AO58" s="39">
        <f t="shared" si="349"/>
        <v>233640</v>
      </c>
      <c r="AP58" s="39">
        <f t="shared" si="349"/>
        <v>249810</v>
      </c>
      <c r="AQ58" s="39">
        <f t="shared" si="349"/>
        <v>266970</v>
      </c>
      <c r="AR58" s="39">
        <f t="shared" si="349"/>
        <v>285780</v>
      </c>
      <c r="AS58" s="39">
        <f t="shared" si="349"/>
        <v>305910</v>
      </c>
      <c r="AT58" s="39">
        <f t="shared" si="349"/>
        <v>327030</v>
      </c>
      <c r="AU58" s="39">
        <f t="shared" si="349"/>
        <v>350130</v>
      </c>
      <c r="AV58" s="39">
        <f t="shared" si="349"/>
        <v>374880</v>
      </c>
      <c r="AW58" s="39">
        <f t="shared" si="349"/>
        <v>400950</v>
      </c>
      <c r="AX58" s="39">
        <f t="shared" si="349"/>
        <v>429000</v>
      </c>
      <c r="AY58" s="39">
        <f t="shared" si="349"/>
        <v>459030</v>
      </c>
      <c r="AZ58" s="39">
        <f t="shared" si="349"/>
        <v>491370</v>
      </c>
      <c r="BA58" s="39">
        <f t="shared" si="349"/>
        <v>526020</v>
      </c>
      <c r="BB58" s="39">
        <f t="shared" si="349"/>
        <v>562980</v>
      </c>
      <c r="BC58" s="39">
        <f t="shared" si="349"/>
        <v>602250</v>
      </c>
      <c r="BD58" s="39">
        <f t="shared" ref="BD58:BI58" si="350">BD56*BD57</f>
        <v>644490</v>
      </c>
      <c r="BE58" s="39">
        <f t="shared" si="350"/>
        <v>689370</v>
      </c>
      <c r="BF58" s="39">
        <f t="shared" si="350"/>
        <v>737880</v>
      </c>
      <c r="BG58" s="39">
        <f t="shared" si="350"/>
        <v>789690</v>
      </c>
      <c r="BH58" s="39">
        <f t="shared" si="350"/>
        <v>845130</v>
      </c>
      <c r="BI58" s="39">
        <f t="shared" si="350"/>
        <v>904200</v>
      </c>
      <c r="BJ58" s="39">
        <f t="shared" ref="BJ58:BN58" si="351">BJ56*BJ57</f>
        <v>967560</v>
      </c>
      <c r="BK58" s="39">
        <f t="shared" si="351"/>
        <v>1035210</v>
      </c>
      <c r="BL58" s="39">
        <f t="shared" si="351"/>
        <v>1107480</v>
      </c>
      <c r="BM58" s="39">
        <f t="shared" si="351"/>
        <v>1185030</v>
      </c>
      <c r="BN58" s="39">
        <f t="shared" si="351"/>
        <v>1268190</v>
      </c>
    </row>
    <row r="59" spans="2:66" x14ac:dyDescent="0.3">
      <c r="G59" s="34"/>
      <c r="H59" s="34"/>
      <c r="I59" s="34"/>
      <c r="S59" s="34"/>
    </row>
    <row r="60" spans="2:66" x14ac:dyDescent="0.3">
      <c r="B60" s="22" t="s">
        <v>0</v>
      </c>
      <c r="C60" s="23" t="s">
        <v>35</v>
      </c>
      <c r="G60" s="34"/>
      <c r="H60" s="34"/>
      <c r="I60" s="34"/>
    </row>
    <row r="61" spans="2:66" ht="3" customHeight="1" x14ac:dyDescent="0.3"/>
    <row r="62" spans="2:66" x14ac:dyDescent="0.3">
      <c r="C62" t="str">
        <f>C50</f>
        <v>Monthly Plan Bookings</v>
      </c>
      <c r="G62" s="37">
        <f>G50</f>
        <v>2700</v>
      </c>
      <c r="H62" s="37">
        <f t="shared" ref="H62:AD62" si="352">H50</f>
        <v>5250</v>
      </c>
      <c r="I62" s="37">
        <f t="shared" si="352"/>
        <v>7740</v>
      </c>
      <c r="J62" s="37">
        <f t="shared" si="352"/>
        <v>10170</v>
      </c>
      <c r="K62" s="37">
        <f t="shared" si="352"/>
        <v>12600</v>
      </c>
      <c r="L62" s="37">
        <f t="shared" si="352"/>
        <v>15060</v>
      </c>
      <c r="M62" s="37">
        <f t="shared" si="352"/>
        <v>17610</v>
      </c>
      <c r="N62" s="37">
        <f t="shared" si="352"/>
        <v>20250</v>
      </c>
      <c r="O62" s="37">
        <f t="shared" si="352"/>
        <v>23040</v>
      </c>
      <c r="P62" s="37">
        <f t="shared" si="352"/>
        <v>25980</v>
      </c>
      <c r="Q62" s="37">
        <f t="shared" si="352"/>
        <v>29100</v>
      </c>
      <c r="R62" s="37">
        <f t="shared" si="352"/>
        <v>32430</v>
      </c>
      <c r="S62" s="37">
        <f t="shared" si="352"/>
        <v>36060</v>
      </c>
      <c r="T62" s="37">
        <f t="shared" si="352"/>
        <v>39990</v>
      </c>
      <c r="U62" s="37">
        <f t="shared" si="352"/>
        <v>44250</v>
      </c>
      <c r="V62" s="37">
        <f t="shared" si="352"/>
        <v>48900</v>
      </c>
      <c r="W62" s="37">
        <f t="shared" si="352"/>
        <v>53970</v>
      </c>
      <c r="X62" s="37">
        <f t="shared" si="352"/>
        <v>59520</v>
      </c>
      <c r="Y62" s="37">
        <f t="shared" si="352"/>
        <v>65610</v>
      </c>
      <c r="Z62" s="37">
        <f t="shared" si="352"/>
        <v>72300</v>
      </c>
      <c r="AA62" s="37">
        <f t="shared" si="352"/>
        <v>79620</v>
      </c>
      <c r="AB62" s="37">
        <f t="shared" si="352"/>
        <v>87690</v>
      </c>
      <c r="AC62" s="37">
        <f t="shared" si="352"/>
        <v>96570</v>
      </c>
      <c r="AD62" s="37">
        <f t="shared" si="352"/>
        <v>106290</v>
      </c>
      <c r="AE62" s="37">
        <f t="shared" ref="AE62:BC62" si="353">AE50</f>
        <v>117000</v>
      </c>
      <c r="AF62" s="37">
        <f t="shared" si="353"/>
        <v>128760</v>
      </c>
      <c r="AG62" s="37">
        <f t="shared" si="353"/>
        <v>141690</v>
      </c>
      <c r="AH62" s="37">
        <f t="shared" si="353"/>
        <v>155940</v>
      </c>
      <c r="AI62" s="37">
        <f t="shared" si="353"/>
        <v>171570</v>
      </c>
      <c r="AJ62" s="37">
        <f t="shared" si="353"/>
        <v>188760</v>
      </c>
      <c r="AK62" s="37">
        <f t="shared" si="353"/>
        <v>207660</v>
      </c>
      <c r="AL62" s="37">
        <f t="shared" si="353"/>
        <v>228450</v>
      </c>
      <c r="AM62" s="37">
        <f t="shared" si="353"/>
        <v>251310</v>
      </c>
      <c r="AN62" s="37">
        <f t="shared" si="353"/>
        <v>276420</v>
      </c>
      <c r="AO62" s="37">
        <f t="shared" si="353"/>
        <v>304050</v>
      </c>
      <c r="AP62" s="37">
        <f t="shared" si="353"/>
        <v>334440</v>
      </c>
      <c r="AQ62" s="37">
        <f t="shared" si="353"/>
        <v>367860</v>
      </c>
      <c r="AR62" s="37">
        <f t="shared" si="353"/>
        <v>404640</v>
      </c>
      <c r="AS62" s="37">
        <f t="shared" si="353"/>
        <v>445110</v>
      </c>
      <c r="AT62" s="37">
        <f t="shared" si="353"/>
        <v>489600</v>
      </c>
      <c r="AU62" s="37">
        <f t="shared" si="353"/>
        <v>538560</v>
      </c>
      <c r="AV62" s="37">
        <f t="shared" si="353"/>
        <v>592410</v>
      </c>
      <c r="AW62" s="37">
        <f t="shared" si="353"/>
        <v>651660</v>
      </c>
      <c r="AX62" s="37">
        <f t="shared" si="353"/>
        <v>716850</v>
      </c>
      <c r="AY62" s="37">
        <f t="shared" si="353"/>
        <v>788550</v>
      </c>
      <c r="AZ62" s="37">
        <f t="shared" si="353"/>
        <v>867390</v>
      </c>
      <c r="BA62" s="37">
        <f t="shared" si="353"/>
        <v>954120</v>
      </c>
      <c r="BB62" s="37">
        <f t="shared" si="353"/>
        <v>1049520</v>
      </c>
      <c r="BC62" s="37">
        <f t="shared" si="353"/>
        <v>1154460</v>
      </c>
      <c r="BD62" s="37">
        <f t="shared" ref="BD62:BI62" si="354">BD50</f>
        <v>1269930</v>
      </c>
      <c r="BE62" s="37">
        <f t="shared" si="354"/>
        <v>1396920</v>
      </c>
      <c r="BF62" s="37">
        <f t="shared" si="354"/>
        <v>1536600</v>
      </c>
      <c r="BG62" s="37">
        <f t="shared" si="354"/>
        <v>1690260</v>
      </c>
      <c r="BH62" s="37">
        <f t="shared" si="354"/>
        <v>1859310</v>
      </c>
      <c r="BI62" s="37">
        <f t="shared" si="354"/>
        <v>2045250</v>
      </c>
      <c r="BJ62" s="37">
        <f t="shared" ref="BJ62:BN62" si="355">BJ50</f>
        <v>2249820</v>
      </c>
      <c r="BK62" s="37">
        <f t="shared" si="355"/>
        <v>2474850</v>
      </c>
      <c r="BL62" s="37">
        <f t="shared" si="355"/>
        <v>2722380</v>
      </c>
      <c r="BM62" s="37">
        <f t="shared" si="355"/>
        <v>2994660</v>
      </c>
      <c r="BN62" s="37">
        <f t="shared" si="355"/>
        <v>3294180</v>
      </c>
    </row>
    <row r="63" spans="2:66" x14ac:dyDescent="0.3">
      <c r="C63" t="str">
        <f>C58</f>
        <v>Annual Plan Bookings</v>
      </c>
      <c r="G63" s="27">
        <f>G58</f>
        <v>18150</v>
      </c>
      <c r="H63" s="27">
        <f t="shared" ref="H63:AD63" si="356">H58</f>
        <v>19470</v>
      </c>
      <c r="I63" s="27">
        <f t="shared" si="356"/>
        <v>20790</v>
      </c>
      <c r="J63" s="27">
        <f t="shared" si="356"/>
        <v>22110</v>
      </c>
      <c r="K63" s="27">
        <f t="shared" si="356"/>
        <v>23760</v>
      </c>
      <c r="L63" s="27">
        <f t="shared" si="356"/>
        <v>25410</v>
      </c>
      <c r="M63" s="27">
        <f t="shared" si="356"/>
        <v>27060</v>
      </c>
      <c r="N63" s="27">
        <f t="shared" si="356"/>
        <v>29040</v>
      </c>
      <c r="O63" s="27">
        <f t="shared" si="356"/>
        <v>31020</v>
      </c>
      <c r="P63" s="27">
        <f t="shared" si="356"/>
        <v>33330</v>
      </c>
      <c r="Q63" s="27">
        <f t="shared" si="356"/>
        <v>35640</v>
      </c>
      <c r="R63" s="27">
        <f t="shared" si="356"/>
        <v>38280</v>
      </c>
      <c r="S63" s="27">
        <f t="shared" si="356"/>
        <v>52800</v>
      </c>
      <c r="T63" s="27">
        <f t="shared" si="356"/>
        <v>56430</v>
      </c>
      <c r="U63" s="27">
        <f t="shared" si="356"/>
        <v>60390</v>
      </c>
      <c r="V63" s="27">
        <f t="shared" si="356"/>
        <v>64680</v>
      </c>
      <c r="W63" s="27">
        <f t="shared" si="356"/>
        <v>69300</v>
      </c>
      <c r="X63" s="27">
        <f t="shared" si="356"/>
        <v>73920</v>
      </c>
      <c r="Y63" s="27">
        <f t="shared" si="356"/>
        <v>78870</v>
      </c>
      <c r="Z63" s="27">
        <f t="shared" si="356"/>
        <v>84480</v>
      </c>
      <c r="AA63" s="27">
        <f t="shared" si="356"/>
        <v>90420</v>
      </c>
      <c r="AB63" s="27">
        <f t="shared" si="356"/>
        <v>97020</v>
      </c>
      <c r="AC63" s="27">
        <f t="shared" si="356"/>
        <v>103620</v>
      </c>
      <c r="AD63" s="27">
        <f t="shared" si="356"/>
        <v>110880</v>
      </c>
      <c r="AE63" s="27">
        <f t="shared" ref="AE63:BC63" si="357">AE58</f>
        <v>118800</v>
      </c>
      <c r="AF63" s="27">
        <f t="shared" si="357"/>
        <v>127050</v>
      </c>
      <c r="AG63" s="27">
        <f t="shared" si="357"/>
        <v>135960</v>
      </c>
      <c r="AH63" s="27">
        <f t="shared" si="357"/>
        <v>145530</v>
      </c>
      <c r="AI63" s="27">
        <f t="shared" si="357"/>
        <v>155760</v>
      </c>
      <c r="AJ63" s="27">
        <f t="shared" si="357"/>
        <v>166650</v>
      </c>
      <c r="AK63" s="27">
        <f t="shared" si="357"/>
        <v>178200</v>
      </c>
      <c r="AL63" s="27">
        <f t="shared" si="357"/>
        <v>190410</v>
      </c>
      <c r="AM63" s="27">
        <f t="shared" si="357"/>
        <v>203610</v>
      </c>
      <c r="AN63" s="27">
        <f t="shared" si="357"/>
        <v>218130</v>
      </c>
      <c r="AO63" s="27">
        <f t="shared" si="357"/>
        <v>233640</v>
      </c>
      <c r="AP63" s="27">
        <f t="shared" si="357"/>
        <v>249810</v>
      </c>
      <c r="AQ63" s="27">
        <f t="shared" si="357"/>
        <v>266970</v>
      </c>
      <c r="AR63" s="27">
        <f t="shared" si="357"/>
        <v>285780</v>
      </c>
      <c r="AS63" s="27">
        <f t="shared" si="357"/>
        <v>305910</v>
      </c>
      <c r="AT63" s="27">
        <f t="shared" si="357"/>
        <v>327030</v>
      </c>
      <c r="AU63" s="27">
        <f t="shared" si="357"/>
        <v>350130</v>
      </c>
      <c r="AV63" s="27">
        <f t="shared" si="357"/>
        <v>374880</v>
      </c>
      <c r="AW63" s="27">
        <f t="shared" si="357"/>
        <v>400950</v>
      </c>
      <c r="AX63" s="27">
        <f t="shared" si="357"/>
        <v>429000</v>
      </c>
      <c r="AY63" s="27">
        <f t="shared" si="357"/>
        <v>459030</v>
      </c>
      <c r="AZ63" s="27">
        <f t="shared" si="357"/>
        <v>491370</v>
      </c>
      <c r="BA63" s="27">
        <f t="shared" si="357"/>
        <v>526020</v>
      </c>
      <c r="BB63" s="27">
        <f t="shared" si="357"/>
        <v>562980</v>
      </c>
      <c r="BC63" s="27">
        <f t="shared" si="357"/>
        <v>602250</v>
      </c>
      <c r="BD63" s="27">
        <f t="shared" ref="BD63:BI63" si="358">BD58</f>
        <v>644490</v>
      </c>
      <c r="BE63" s="27">
        <f t="shared" si="358"/>
        <v>689370</v>
      </c>
      <c r="BF63" s="27">
        <f t="shared" si="358"/>
        <v>737880</v>
      </c>
      <c r="BG63" s="27">
        <f t="shared" si="358"/>
        <v>789690</v>
      </c>
      <c r="BH63" s="27">
        <f t="shared" si="358"/>
        <v>845130</v>
      </c>
      <c r="BI63" s="27">
        <f t="shared" si="358"/>
        <v>904200</v>
      </c>
      <c r="BJ63" s="27">
        <f t="shared" ref="BJ63:BN63" si="359">BJ58</f>
        <v>967560</v>
      </c>
      <c r="BK63" s="27">
        <f t="shared" si="359"/>
        <v>1035210</v>
      </c>
      <c r="BL63" s="27">
        <f t="shared" si="359"/>
        <v>1107480</v>
      </c>
      <c r="BM63" s="27">
        <f t="shared" si="359"/>
        <v>1185030</v>
      </c>
      <c r="BN63" s="27">
        <f t="shared" si="359"/>
        <v>1268190</v>
      </c>
    </row>
    <row r="64" spans="2:66" x14ac:dyDescent="0.3">
      <c r="C64" s="35" t="s">
        <v>35</v>
      </c>
      <c r="D64" s="35"/>
      <c r="E64" s="35"/>
      <c r="F64" s="35"/>
      <c r="G64" s="40">
        <f>SUM(G62:G63)</f>
        <v>20850</v>
      </c>
      <c r="H64" s="40">
        <f t="shared" ref="H64:AD64" si="360">SUM(H62:H63)</f>
        <v>24720</v>
      </c>
      <c r="I64" s="40">
        <f t="shared" si="360"/>
        <v>28530</v>
      </c>
      <c r="J64" s="40">
        <f t="shared" si="360"/>
        <v>32280</v>
      </c>
      <c r="K64" s="40">
        <f t="shared" si="360"/>
        <v>36360</v>
      </c>
      <c r="L64" s="40">
        <f t="shared" si="360"/>
        <v>40470</v>
      </c>
      <c r="M64" s="40">
        <f t="shared" si="360"/>
        <v>44670</v>
      </c>
      <c r="N64" s="40">
        <f t="shared" si="360"/>
        <v>49290</v>
      </c>
      <c r="O64" s="40">
        <f t="shared" si="360"/>
        <v>54060</v>
      </c>
      <c r="P64" s="40">
        <f t="shared" si="360"/>
        <v>59310</v>
      </c>
      <c r="Q64" s="40">
        <f t="shared" si="360"/>
        <v>64740</v>
      </c>
      <c r="R64" s="40">
        <f t="shared" si="360"/>
        <v>70710</v>
      </c>
      <c r="S64" s="40">
        <f t="shared" si="360"/>
        <v>88860</v>
      </c>
      <c r="T64" s="40">
        <f t="shared" si="360"/>
        <v>96420</v>
      </c>
      <c r="U64" s="40">
        <f t="shared" si="360"/>
        <v>104640</v>
      </c>
      <c r="V64" s="40">
        <f t="shared" si="360"/>
        <v>113580</v>
      </c>
      <c r="W64" s="40">
        <f t="shared" si="360"/>
        <v>123270</v>
      </c>
      <c r="X64" s="40">
        <f t="shared" si="360"/>
        <v>133440</v>
      </c>
      <c r="Y64" s="40">
        <f t="shared" si="360"/>
        <v>144480</v>
      </c>
      <c r="Z64" s="40">
        <f t="shared" si="360"/>
        <v>156780</v>
      </c>
      <c r="AA64" s="40">
        <f t="shared" si="360"/>
        <v>170040</v>
      </c>
      <c r="AB64" s="40">
        <f t="shared" si="360"/>
        <v>184710</v>
      </c>
      <c r="AC64" s="40">
        <f t="shared" si="360"/>
        <v>200190</v>
      </c>
      <c r="AD64" s="40">
        <f t="shared" si="360"/>
        <v>217170</v>
      </c>
      <c r="AE64" s="40">
        <f t="shared" ref="AE64:BC64" si="361">SUM(AE62:AE63)</f>
        <v>235800</v>
      </c>
      <c r="AF64" s="40">
        <f t="shared" si="361"/>
        <v>255810</v>
      </c>
      <c r="AG64" s="40">
        <f t="shared" si="361"/>
        <v>277650</v>
      </c>
      <c r="AH64" s="40">
        <f t="shared" si="361"/>
        <v>301470</v>
      </c>
      <c r="AI64" s="40">
        <f t="shared" si="361"/>
        <v>327330</v>
      </c>
      <c r="AJ64" s="40">
        <f t="shared" si="361"/>
        <v>355410</v>
      </c>
      <c r="AK64" s="40">
        <f t="shared" si="361"/>
        <v>385860</v>
      </c>
      <c r="AL64" s="40">
        <f t="shared" si="361"/>
        <v>418860</v>
      </c>
      <c r="AM64" s="40">
        <f t="shared" si="361"/>
        <v>454920</v>
      </c>
      <c r="AN64" s="40">
        <f t="shared" si="361"/>
        <v>494550</v>
      </c>
      <c r="AO64" s="40">
        <f t="shared" si="361"/>
        <v>537690</v>
      </c>
      <c r="AP64" s="40">
        <f t="shared" si="361"/>
        <v>584250</v>
      </c>
      <c r="AQ64" s="40">
        <f t="shared" si="361"/>
        <v>634830</v>
      </c>
      <c r="AR64" s="40">
        <f t="shared" si="361"/>
        <v>690420</v>
      </c>
      <c r="AS64" s="40">
        <f t="shared" si="361"/>
        <v>751020</v>
      </c>
      <c r="AT64" s="40">
        <f t="shared" si="361"/>
        <v>816630</v>
      </c>
      <c r="AU64" s="40">
        <f t="shared" si="361"/>
        <v>888690</v>
      </c>
      <c r="AV64" s="40">
        <f t="shared" si="361"/>
        <v>967290</v>
      </c>
      <c r="AW64" s="40">
        <f t="shared" si="361"/>
        <v>1052610</v>
      </c>
      <c r="AX64" s="40">
        <f t="shared" si="361"/>
        <v>1145850</v>
      </c>
      <c r="AY64" s="40">
        <f t="shared" si="361"/>
        <v>1247580</v>
      </c>
      <c r="AZ64" s="40">
        <f t="shared" si="361"/>
        <v>1358760</v>
      </c>
      <c r="BA64" s="40">
        <f t="shared" si="361"/>
        <v>1480140</v>
      </c>
      <c r="BB64" s="40">
        <f t="shared" si="361"/>
        <v>1612500</v>
      </c>
      <c r="BC64" s="40">
        <f t="shared" si="361"/>
        <v>1756710</v>
      </c>
      <c r="BD64" s="40">
        <f t="shared" ref="BD64:BI64" si="362">SUM(BD62:BD63)</f>
        <v>1914420</v>
      </c>
      <c r="BE64" s="40">
        <f t="shared" si="362"/>
        <v>2086290</v>
      </c>
      <c r="BF64" s="40">
        <f t="shared" si="362"/>
        <v>2274480</v>
      </c>
      <c r="BG64" s="40">
        <f t="shared" si="362"/>
        <v>2479950</v>
      </c>
      <c r="BH64" s="40">
        <f t="shared" si="362"/>
        <v>2704440</v>
      </c>
      <c r="BI64" s="40">
        <f t="shared" si="362"/>
        <v>2949450</v>
      </c>
      <c r="BJ64" s="40">
        <f t="shared" ref="BJ64:BN64" si="363">SUM(BJ62:BJ63)</f>
        <v>3217380</v>
      </c>
      <c r="BK64" s="40">
        <f t="shared" si="363"/>
        <v>3510060</v>
      </c>
      <c r="BL64" s="40">
        <f t="shared" si="363"/>
        <v>3829860</v>
      </c>
      <c r="BM64" s="40">
        <f t="shared" si="363"/>
        <v>4179690</v>
      </c>
      <c r="BN64" s="40">
        <f t="shared" si="363"/>
        <v>4562370</v>
      </c>
    </row>
    <row r="66" spans="1:66" x14ac:dyDescent="0.3">
      <c r="A66" s="22" t="s">
        <v>0</v>
      </c>
      <c r="B66" s="22" t="s">
        <v>0</v>
      </c>
      <c r="C66" s="4" t="s">
        <v>41</v>
      </c>
      <c r="G66" s="34"/>
      <c r="R66" s="34"/>
    </row>
    <row r="67" spans="1:66" ht="3" customHeight="1" x14ac:dyDescent="0.3"/>
    <row r="68" spans="1:66" x14ac:dyDescent="0.3">
      <c r="C68" t="s">
        <v>42</v>
      </c>
      <c r="G68" s="37">
        <f>G50</f>
        <v>2700</v>
      </c>
      <c r="H68" s="37">
        <f t="shared" ref="H68:AD68" si="364">H50</f>
        <v>5250</v>
      </c>
      <c r="I68" s="37">
        <f t="shared" si="364"/>
        <v>7740</v>
      </c>
      <c r="J68" s="37">
        <f t="shared" si="364"/>
        <v>10170</v>
      </c>
      <c r="K68" s="37">
        <f t="shared" si="364"/>
        <v>12600</v>
      </c>
      <c r="L68" s="37">
        <f t="shared" si="364"/>
        <v>15060</v>
      </c>
      <c r="M68" s="37">
        <f t="shared" si="364"/>
        <v>17610</v>
      </c>
      <c r="N68" s="37">
        <f t="shared" si="364"/>
        <v>20250</v>
      </c>
      <c r="O68" s="37">
        <f t="shared" si="364"/>
        <v>23040</v>
      </c>
      <c r="P68" s="37">
        <f t="shared" si="364"/>
        <v>25980</v>
      </c>
      <c r="Q68" s="37">
        <f t="shared" si="364"/>
        <v>29100</v>
      </c>
      <c r="R68" s="37">
        <f t="shared" si="364"/>
        <v>32430</v>
      </c>
      <c r="S68" s="37">
        <f t="shared" si="364"/>
        <v>36060</v>
      </c>
      <c r="T68" s="37">
        <f t="shared" si="364"/>
        <v>39990</v>
      </c>
      <c r="U68" s="37">
        <f t="shared" si="364"/>
        <v>44250</v>
      </c>
      <c r="V68" s="37">
        <f t="shared" si="364"/>
        <v>48900</v>
      </c>
      <c r="W68" s="37">
        <f t="shared" si="364"/>
        <v>53970</v>
      </c>
      <c r="X68" s="37">
        <f t="shared" si="364"/>
        <v>59520</v>
      </c>
      <c r="Y68" s="37">
        <f t="shared" si="364"/>
        <v>65610</v>
      </c>
      <c r="Z68" s="37">
        <f t="shared" si="364"/>
        <v>72300</v>
      </c>
      <c r="AA68" s="37">
        <f t="shared" si="364"/>
        <v>79620</v>
      </c>
      <c r="AB68" s="37">
        <f t="shared" si="364"/>
        <v>87690</v>
      </c>
      <c r="AC68" s="37">
        <f t="shared" si="364"/>
        <v>96570</v>
      </c>
      <c r="AD68" s="37">
        <f t="shared" si="364"/>
        <v>106290</v>
      </c>
      <c r="AE68" s="37">
        <f t="shared" ref="AE68:BC68" si="365">AE50</f>
        <v>117000</v>
      </c>
      <c r="AF68" s="37">
        <f t="shared" si="365"/>
        <v>128760</v>
      </c>
      <c r="AG68" s="37">
        <f t="shared" si="365"/>
        <v>141690</v>
      </c>
      <c r="AH68" s="37">
        <f t="shared" si="365"/>
        <v>155940</v>
      </c>
      <c r="AI68" s="37">
        <f t="shared" si="365"/>
        <v>171570</v>
      </c>
      <c r="AJ68" s="37">
        <f t="shared" si="365"/>
        <v>188760</v>
      </c>
      <c r="AK68" s="37">
        <f t="shared" si="365"/>
        <v>207660</v>
      </c>
      <c r="AL68" s="37">
        <f t="shared" si="365"/>
        <v>228450</v>
      </c>
      <c r="AM68" s="37">
        <f t="shared" si="365"/>
        <v>251310</v>
      </c>
      <c r="AN68" s="37">
        <f t="shared" si="365"/>
        <v>276420</v>
      </c>
      <c r="AO68" s="37">
        <f t="shared" si="365"/>
        <v>304050</v>
      </c>
      <c r="AP68" s="37">
        <f t="shared" si="365"/>
        <v>334440</v>
      </c>
      <c r="AQ68" s="37">
        <f t="shared" si="365"/>
        <v>367860</v>
      </c>
      <c r="AR68" s="37">
        <f t="shared" si="365"/>
        <v>404640</v>
      </c>
      <c r="AS68" s="37">
        <f t="shared" si="365"/>
        <v>445110</v>
      </c>
      <c r="AT68" s="37">
        <f t="shared" si="365"/>
        <v>489600</v>
      </c>
      <c r="AU68" s="37">
        <f t="shared" si="365"/>
        <v>538560</v>
      </c>
      <c r="AV68" s="37">
        <f t="shared" si="365"/>
        <v>592410</v>
      </c>
      <c r="AW68" s="37">
        <f t="shared" si="365"/>
        <v>651660</v>
      </c>
      <c r="AX68" s="37">
        <f t="shared" si="365"/>
        <v>716850</v>
      </c>
      <c r="AY68" s="37">
        <f t="shared" si="365"/>
        <v>788550</v>
      </c>
      <c r="AZ68" s="37">
        <f t="shared" si="365"/>
        <v>867390</v>
      </c>
      <c r="BA68" s="37">
        <f t="shared" si="365"/>
        <v>954120</v>
      </c>
      <c r="BB68" s="37">
        <f t="shared" si="365"/>
        <v>1049520</v>
      </c>
      <c r="BC68" s="37">
        <f t="shared" si="365"/>
        <v>1154460</v>
      </c>
      <c r="BD68" s="37">
        <f t="shared" ref="BD68:BI68" si="366">BD50</f>
        <v>1269930</v>
      </c>
      <c r="BE68" s="37">
        <f t="shared" si="366"/>
        <v>1396920</v>
      </c>
      <c r="BF68" s="37">
        <f t="shared" si="366"/>
        <v>1536600</v>
      </c>
      <c r="BG68" s="37">
        <f t="shared" si="366"/>
        <v>1690260</v>
      </c>
      <c r="BH68" s="37">
        <f t="shared" si="366"/>
        <v>1859310</v>
      </c>
      <c r="BI68" s="37">
        <f t="shared" si="366"/>
        <v>2045250</v>
      </c>
      <c r="BJ68" s="37">
        <f t="shared" ref="BJ68:BN68" si="367">BJ50</f>
        <v>2249820</v>
      </c>
      <c r="BK68" s="37">
        <f t="shared" si="367"/>
        <v>2474850</v>
      </c>
      <c r="BL68" s="37">
        <f t="shared" si="367"/>
        <v>2722380</v>
      </c>
      <c r="BM68" s="37">
        <f t="shared" si="367"/>
        <v>2994660</v>
      </c>
      <c r="BN68" s="37">
        <f t="shared" si="367"/>
        <v>3294180</v>
      </c>
    </row>
    <row r="69" spans="1:66" x14ac:dyDescent="0.3">
      <c r="C69" t="s">
        <v>43</v>
      </c>
      <c r="G69" s="27">
        <f>SUM($G58:G58)/12</f>
        <v>1512.5</v>
      </c>
      <c r="H69" s="27">
        <f>SUM($G58:H58)/12</f>
        <v>3135</v>
      </c>
      <c r="I69" s="27">
        <f>SUM($G58:I58)/12</f>
        <v>4867.5</v>
      </c>
      <c r="J69" s="27">
        <f>SUM($G58:J58)/12</f>
        <v>6710</v>
      </c>
      <c r="K69" s="27">
        <f>SUM($G58:K58)/12</f>
        <v>8690</v>
      </c>
      <c r="L69" s="27">
        <f>SUM($G58:L58)/12</f>
        <v>10807.5</v>
      </c>
      <c r="M69" s="27">
        <f>SUM($G58:M58)/12</f>
        <v>13062.5</v>
      </c>
      <c r="N69" s="27">
        <f>SUM($G58:N58)/12</f>
        <v>15482.5</v>
      </c>
      <c r="O69" s="27">
        <f>SUM($G58:O58)/12</f>
        <v>18067.5</v>
      </c>
      <c r="P69" s="27">
        <f>SUM($G58:P58)/12</f>
        <v>20845</v>
      </c>
      <c r="Q69" s="27">
        <f>SUM($G58:Q58)/12</f>
        <v>23815</v>
      </c>
      <c r="R69" s="27">
        <f>SUM(G58:R58)/12</f>
        <v>27005</v>
      </c>
      <c r="S69" s="27">
        <f>SUM(H58:S58)/12</f>
        <v>29892.5</v>
      </c>
      <c r="T69" s="27">
        <f t="shared" ref="T69:AD69" si="368">SUM(I58:T58)/12</f>
        <v>32972.5</v>
      </c>
      <c r="U69" s="27">
        <f t="shared" si="368"/>
        <v>36272.5</v>
      </c>
      <c r="V69" s="27">
        <f t="shared" si="368"/>
        <v>39820</v>
      </c>
      <c r="W69" s="27">
        <f t="shared" si="368"/>
        <v>43615</v>
      </c>
      <c r="X69" s="27">
        <f t="shared" si="368"/>
        <v>47657.5</v>
      </c>
      <c r="Y69" s="27">
        <f t="shared" si="368"/>
        <v>51975</v>
      </c>
      <c r="Z69" s="27">
        <f t="shared" si="368"/>
        <v>56595</v>
      </c>
      <c r="AA69" s="27">
        <f t="shared" si="368"/>
        <v>61545</v>
      </c>
      <c r="AB69" s="27">
        <f t="shared" si="368"/>
        <v>66852.5</v>
      </c>
      <c r="AC69" s="27">
        <f t="shared" si="368"/>
        <v>72517.5</v>
      </c>
      <c r="AD69" s="27">
        <f t="shared" si="368"/>
        <v>78567.5</v>
      </c>
      <c r="AE69" s="27">
        <f t="shared" ref="AE69" si="369">SUM(T58:AE58)/12</f>
        <v>84067.5</v>
      </c>
      <c r="AF69" s="27">
        <f t="shared" ref="AF69" si="370">SUM(U58:AF58)/12</f>
        <v>89952.5</v>
      </c>
      <c r="AG69" s="27">
        <f t="shared" ref="AG69" si="371">SUM(V58:AG58)/12</f>
        <v>96250</v>
      </c>
      <c r="AH69" s="27">
        <f t="shared" ref="AH69" si="372">SUM(W58:AH58)/12</f>
        <v>102987.5</v>
      </c>
      <c r="AI69" s="27">
        <f t="shared" ref="AI69" si="373">SUM(X58:AI58)/12</f>
        <v>110192.5</v>
      </c>
      <c r="AJ69" s="27">
        <f t="shared" ref="AJ69" si="374">SUM(Y58:AJ58)/12</f>
        <v>117920</v>
      </c>
      <c r="AK69" s="27">
        <f t="shared" ref="AK69" si="375">SUM(Z58:AK58)/12</f>
        <v>126197.5</v>
      </c>
      <c r="AL69" s="27">
        <f t="shared" ref="AL69" si="376">SUM(AA58:AL58)/12</f>
        <v>135025</v>
      </c>
      <c r="AM69" s="27">
        <f t="shared" ref="AM69" si="377">SUM(AB58:AM58)/12</f>
        <v>144457.5</v>
      </c>
      <c r="AN69" s="27">
        <f t="shared" ref="AN69" si="378">SUM(AC58:AN58)/12</f>
        <v>154550</v>
      </c>
      <c r="AO69" s="27">
        <f t="shared" ref="AO69" si="379">SUM(AD58:AO58)/12</f>
        <v>165385</v>
      </c>
      <c r="AP69" s="27">
        <f t="shared" ref="AP69" si="380">SUM(AE58:AP58)/12</f>
        <v>176962.5</v>
      </c>
      <c r="AQ69" s="27">
        <f t="shared" ref="AQ69" si="381">SUM(AF58:AQ58)/12</f>
        <v>189310</v>
      </c>
      <c r="AR69" s="27">
        <f t="shared" ref="AR69" si="382">SUM(AG58:AR58)/12</f>
        <v>202537.5</v>
      </c>
      <c r="AS69" s="27">
        <f t="shared" ref="AS69" si="383">SUM(AH58:AS58)/12</f>
        <v>216700</v>
      </c>
      <c r="AT69" s="27">
        <f t="shared" ref="AT69" si="384">SUM(AI58:AT58)/12</f>
        <v>231825</v>
      </c>
      <c r="AU69" s="27">
        <f t="shared" ref="AU69" si="385">SUM(AJ58:AU58)/12</f>
        <v>248022.5</v>
      </c>
      <c r="AV69" s="27">
        <f t="shared" ref="AV69" si="386">SUM(AK58:AV58)/12</f>
        <v>265375</v>
      </c>
      <c r="AW69" s="27">
        <f t="shared" ref="AW69" si="387">SUM(AL58:AW58)/12</f>
        <v>283937.5</v>
      </c>
      <c r="AX69" s="27">
        <f t="shared" ref="AX69" si="388">SUM(AM58:AX58)/12</f>
        <v>303820</v>
      </c>
      <c r="AY69" s="27">
        <f t="shared" ref="AY69" si="389">SUM(AN58:AY58)/12</f>
        <v>325105</v>
      </c>
      <c r="AZ69" s="27">
        <f t="shared" ref="AZ69" si="390">SUM(AO58:AZ58)/12</f>
        <v>347875</v>
      </c>
      <c r="BA69" s="27">
        <f t="shared" ref="BA69" si="391">SUM(AP58:BA58)/12</f>
        <v>372240</v>
      </c>
      <c r="BB69" s="27">
        <f t="shared" ref="BB69" si="392">SUM(AQ58:BB58)/12</f>
        <v>398337.5</v>
      </c>
      <c r="BC69" s="27">
        <f t="shared" ref="BC69" si="393">SUM(AR58:BC58)/12</f>
        <v>426277.5</v>
      </c>
      <c r="BD69" s="27">
        <f t="shared" ref="BD69" si="394">SUM(AS58:BD58)/12</f>
        <v>456170</v>
      </c>
      <c r="BE69" s="27">
        <f t="shared" ref="BE69" si="395">SUM(AT58:BE58)/12</f>
        <v>488125</v>
      </c>
      <c r="BF69" s="27">
        <f t="shared" ref="BF69" si="396">SUM(AU58:BF58)/12</f>
        <v>522362.5</v>
      </c>
      <c r="BG69" s="27">
        <f t="shared" ref="BG69" si="397">SUM(AV58:BG58)/12</f>
        <v>558992.5</v>
      </c>
      <c r="BH69" s="27">
        <f t="shared" ref="BH69" si="398">SUM(AW58:BH58)/12</f>
        <v>598180</v>
      </c>
      <c r="BI69" s="27">
        <f t="shared" ref="BI69" si="399">SUM(AX58:BI58)/12</f>
        <v>640117.5</v>
      </c>
      <c r="BJ69" s="27">
        <f t="shared" ref="BJ69" si="400">SUM(AY58:BJ58)/12</f>
        <v>684997.5</v>
      </c>
      <c r="BK69" s="27">
        <f t="shared" ref="BK69" si="401">SUM(AZ58:BK58)/12</f>
        <v>733012.5</v>
      </c>
      <c r="BL69" s="27">
        <f t="shared" ref="BL69" si="402">SUM(BA58:BL58)/12</f>
        <v>784355</v>
      </c>
      <c r="BM69" s="27">
        <f t="shared" ref="BM69" si="403">SUM(BB58:BM58)/12</f>
        <v>839272.5</v>
      </c>
      <c r="BN69" s="27">
        <f t="shared" ref="BN69" si="404">SUM(BC58:BN58)/12</f>
        <v>898040</v>
      </c>
    </row>
    <row r="70" spans="1:66" x14ac:dyDescent="0.3">
      <c r="C70" s="31" t="s">
        <v>45</v>
      </c>
      <c r="D70" s="31"/>
      <c r="E70" s="31"/>
      <c r="F70" s="31"/>
      <c r="G70" s="39">
        <f>SUM(G68:G69)</f>
        <v>4212.5</v>
      </c>
      <c r="H70" s="39">
        <f t="shared" ref="H70:AD70" si="405">SUM(H68:H69)</f>
        <v>8385</v>
      </c>
      <c r="I70" s="39">
        <f t="shared" si="405"/>
        <v>12607.5</v>
      </c>
      <c r="J70" s="39">
        <f t="shared" si="405"/>
        <v>16880</v>
      </c>
      <c r="K70" s="39">
        <f t="shared" si="405"/>
        <v>21290</v>
      </c>
      <c r="L70" s="39">
        <f t="shared" si="405"/>
        <v>25867.5</v>
      </c>
      <c r="M70" s="39">
        <f t="shared" si="405"/>
        <v>30672.5</v>
      </c>
      <c r="N70" s="39">
        <f t="shared" si="405"/>
        <v>35732.5</v>
      </c>
      <c r="O70" s="39">
        <f t="shared" si="405"/>
        <v>41107.5</v>
      </c>
      <c r="P70" s="39">
        <f t="shared" si="405"/>
        <v>46825</v>
      </c>
      <c r="Q70" s="39">
        <f t="shared" si="405"/>
        <v>52915</v>
      </c>
      <c r="R70" s="39">
        <f t="shared" si="405"/>
        <v>59435</v>
      </c>
      <c r="S70" s="39">
        <f t="shared" si="405"/>
        <v>65952.5</v>
      </c>
      <c r="T70" s="39">
        <f t="shared" si="405"/>
        <v>72962.5</v>
      </c>
      <c r="U70" s="39">
        <f t="shared" si="405"/>
        <v>80522.5</v>
      </c>
      <c r="V70" s="39">
        <f t="shared" si="405"/>
        <v>88720</v>
      </c>
      <c r="W70" s="39">
        <f t="shared" si="405"/>
        <v>97585</v>
      </c>
      <c r="X70" s="39">
        <f t="shared" si="405"/>
        <v>107177.5</v>
      </c>
      <c r="Y70" s="39">
        <f t="shared" si="405"/>
        <v>117585</v>
      </c>
      <c r="Z70" s="39">
        <f t="shared" si="405"/>
        <v>128895</v>
      </c>
      <c r="AA70" s="39">
        <f t="shared" si="405"/>
        <v>141165</v>
      </c>
      <c r="AB70" s="39">
        <f t="shared" si="405"/>
        <v>154542.5</v>
      </c>
      <c r="AC70" s="39">
        <f t="shared" si="405"/>
        <v>169087.5</v>
      </c>
      <c r="AD70" s="39">
        <f t="shared" si="405"/>
        <v>184857.5</v>
      </c>
      <c r="AE70" s="39">
        <f t="shared" ref="AE70:BC70" si="406">SUM(AE68:AE69)</f>
        <v>201067.5</v>
      </c>
      <c r="AF70" s="39">
        <f t="shared" si="406"/>
        <v>218712.5</v>
      </c>
      <c r="AG70" s="39">
        <f t="shared" si="406"/>
        <v>237940</v>
      </c>
      <c r="AH70" s="39">
        <f t="shared" si="406"/>
        <v>258927.5</v>
      </c>
      <c r="AI70" s="39">
        <f t="shared" si="406"/>
        <v>281762.5</v>
      </c>
      <c r="AJ70" s="39">
        <f t="shared" si="406"/>
        <v>306680</v>
      </c>
      <c r="AK70" s="39">
        <f t="shared" si="406"/>
        <v>333857.5</v>
      </c>
      <c r="AL70" s="39">
        <f t="shared" si="406"/>
        <v>363475</v>
      </c>
      <c r="AM70" s="39">
        <f t="shared" si="406"/>
        <v>395767.5</v>
      </c>
      <c r="AN70" s="39">
        <f t="shared" si="406"/>
        <v>430970</v>
      </c>
      <c r="AO70" s="39">
        <f t="shared" si="406"/>
        <v>469435</v>
      </c>
      <c r="AP70" s="39">
        <f t="shared" si="406"/>
        <v>511402.5</v>
      </c>
      <c r="AQ70" s="39">
        <f t="shared" si="406"/>
        <v>557170</v>
      </c>
      <c r="AR70" s="39">
        <f t="shared" si="406"/>
        <v>607177.5</v>
      </c>
      <c r="AS70" s="39">
        <f t="shared" si="406"/>
        <v>661810</v>
      </c>
      <c r="AT70" s="39">
        <f t="shared" si="406"/>
        <v>721425</v>
      </c>
      <c r="AU70" s="39">
        <f t="shared" si="406"/>
        <v>786582.5</v>
      </c>
      <c r="AV70" s="39">
        <f t="shared" si="406"/>
        <v>857785</v>
      </c>
      <c r="AW70" s="39">
        <f t="shared" si="406"/>
        <v>935597.5</v>
      </c>
      <c r="AX70" s="39">
        <f t="shared" si="406"/>
        <v>1020670</v>
      </c>
      <c r="AY70" s="39">
        <f t="shared" si="406"/>
        <v>1113655</v>
      </c>
      <c r="AZ70" s="39">
        <f t="shared" si="406"/>
        <v>1215265</v>
      </c>
      <c r="BA70" s="39">
        <f t="shared" si="406"/>
        <v>1326360</v>
      </c>
      <c r="BB70" s="39">
        <f t="shared" si="406"/>
        <v>1447857.5</v>
      </c>
      <c r="BC70" s="39">
        <f t="shared" si="406"/>
        <v>1580737.5</v>
      </c>
      <c r="BD70" s="39">
        <f t="shared" ref="BD70:BI70" si="407">SUM(BD68:BD69)</f>
        <v>1726100</v>
      </c>
      <c r="BE70" s="39">
        <f t="shared" si="407"/>
        <v>1885045</v>
      </c>
      <c r="BF70" s="39">
        <f t="shared" si="407"/>
        <v>2058962.5</v>
      </c>
      <c r="BG70" s="39">
        <f t="shared" si="407"/>
        <v>2249252.5</v>
      </c>
      <c r="BH70" s="39">
        <f t="shared" si="407"/>
        <v>2457490</v>
      </c>
      <c r="BI70" s="39">
        <f t="shared" si="407"/>
        <v>2685367.5</v>
      </c>
      <c r="BJ70" s="39">
        <f t="shared" ref="BJ70:BN70" si="408">SUM(BJ68:BJ69)</f>
        <v>2934817.5</v>
      </c>
      <c r="BK70" s="39">
        <f t="shared" si="408"/>
        <v>3207862.5</v>
      </c>
      <c r="BL70" s="39">
        <f t="shared" si="408"/>
        <v>3506735</v>
      </c>
      <c r="BM70" s="39">
        <f t="shared" si="408"/>
        <v>3833932.5</v>
      </c>
      <c r="BN70" s="39">
        <f t="shared" si="408"/>
        <v>4192220</v>
      </c>
    </row>
    <row r="71" spans="1:66" ht="3" customHeight="1" x14ac:dyDescent="0.3"/>
    <row r="72" spans="1:66" x14ac:dyDescent="0.3">
      <c r="C72" s="35" t="s">
        <v>44</v>
      </c>
      <c r="D72" s="47"/>
      <c r="E72" s="47"/>
      <c r="F72" s="47"/>
      <c r="G72" s="40">
        <f>G70*12</f>
        <v>50550</v>
      </c>
      <c r="H72" s="40">
        <f t="shared" ref="H72:AD72" si="409">H70*12</f>
        <v>100620</v>
      </c>
      <c r="I72" s="40">
        <f t="shared" si="409"/>
        <v>151290</v>
      </c>
      <c r="J72" s="40">
        <f t="shared" si="409"/>
        <v>202560</v>
      </c>
      <c r="K72" s="40">
        <f t="shared" si="409"/>
        <v>255480</v>
      </c>
      <c r="L72" s="40">
        <f t="shared" si="409"/>
        <v>310410</v>
      </c>
      <c r="M72" s="40">
        <f t="shared" si="409"/>
        <v>368070</v>
      </c>
      <c r="N72" s="40">
        <f t="shared" si="409"/>
        <v>428790</v>
      </c>
      <c r="O72" s="40">
        <f t="shared" si="409"/>
        <v>493290</v>
      </c>
      <c r="P72" s="40">
        <f t="shared" si="409"/>
        <v>561900</v>
      </c>
      <c r="Q72" s="40">
        <f t="shared" si="409"/>
        <v>634980</v>
      </c>
      <c r="R72" s="40">
        <f t="shared" si="409"/>
        <v>713220</v>
      </c>
      <c r="S72" s="40">
        <f t="shared" si="409"/>
        <v>791430</v>
      </c>
      <c r="T72" s="40">
        <f t="shared" si="409"/>
        <v>875550</v>
      </c>
      <c r="U72" s="40">
        <f t="shared" si="409"/>
        <v>966270</v>
      </c>
      <c r="V72" s="40">
        <f t="shared" si="409"/>
        <v>1064640</v>
      </c>
      <c r="W72" s="40">
        <f t="shared" si="409"/>
        <v>1171020</v>
      </c>
      <c r="X72" s="40">
        <f t="shared" si="409"/>
        <v>1286130</v>
      </c>
      <c r="Y72" s="40">
        <f t="shared" si="409"/>
        <v>1411020</v>
      </c>
      <c r="Z72" s="40">
        <f t="shared" si="409"/>
        <v>1546740</v>
      </c>
      <c r="AA72" s="40">
        <f t="shared" si="409"/>
        <v>1693980</v>
      </c>
      <c r="AB72" s="40">
        <f t="shared" si="409"/>
        <v>1854510</v>
      </c>
      <c r="AC72" s="40">
        <f t="shared" si="409"/>
        <v>2029050</v>
      </c>
      <c r="AD72" s="40">
        <f t="shared" si="409"/>
        <v>2218290</v>
      </c>
      <c r="AE72" s="40">
        <f t="shared" ref="AE72:BC72" si="410">AE70*12</f>
        <v>2412810</v>
      </c>
      <c r="AF72" s="40">
        <f t="shared" si="410"/>
        <v>2624550</v>
      </c>
      <c r="AG72" s="40">
        <f t="shared" si="410"/>
        <v>2855280</v>
      </c>
      <c r="AH72" s="40">
        <f t="shared" si="410"/>
        <v>3107130</v>
      </c>
      <c r="AI72" s="40">
        <f t="shared" si="410"/>
        <v>3381150</v>
      </c>
      <c r="AJ72" s="40">
        <f t="shared" si="410"/>
        <v>3680160</v>
      </c>
      <c r="AK72" s="40">
        <f t="shared" si="410"/>
        <v>4006290</v>
      </c>
      <c r="AL72" s="40">
        <f t="shared" si="410"/>
        <v>4361700</v>
      </c>
      <c r="AM72" s="40">
        <f t="shared" si="410"/>
        <v>4749210</v>
      </c>
      <c r="AN72" s="40">
        <f t="shared" si="410"/>
        <v>5171640</v>
      </c>
      <c r="AO72" s="40">
        <f t="shared" si="410"/>
        <v>5633220</v>
      </c>
      <c r="AP72" s="40">
        <f t="shared" si="410"/>
        <v>6136830</v>
      </c>
      <c r="AQ72" s="40">
        <f t="shared" si="410"/>
        <v>6686040</v>
      </c>
      <c r="AR72" s="40">
        <f t="shared" si="410"/>
        <v>7286130</v>
      </c>
      <c r="AS72" s="40">
        <f t="shared" si="410"/>
        <v>7941720</v>
      </c>
      <c r="AT72" s="40">
        <f t="shared" si="410"/>
        <v>8657100</v>
      </c>
      <c r="AU72" s="40">
        <f t="shared" si="410"/>
        <v>9438990</v>
      </c>
      <c r="AV72" s="40">
        <f t="shared" si="410"/>
        <v>10293420</v>
      </c>
      <c r="AW72" s="40">
        <f t="shared" si="410"/>
        <v>11227170</v>
      </c>
      <c r="AX72" s="40">
        <f t="shared" si="410"/>
        <v>12248040</v>
      </c>
      <c r="AY72" s="40">
        <f t="shared" si="410"/>
        <v>13363860</v>
      </c>
      <c r="AZ72" s="40">
        <f t="shared" si="410"/>
        <v>14583180</v>
      </c>
      <c r="BA72" s="40">
        <f t="shared" si="410"/>
        <v>15916320</v>
      </c>
      <c r="BB72" s="40">
        <f t="shared" si="410"/>
        <v>17374290</v>
      </c>
      <c r="BC72" s="40">
        <f t="shared" si="410"/>
        <v>18968850</v>
      </c>
      <c r="BD72" s="40">
        <f t="shared" ref="BD72:BI72" si="411">BD70*12</f>
        <v>20713200</v>
      </c>
      <c r="BE72" s="40">
        <f t="shared" si="411"/>
        <v>22620540</v>
      </c>
      <c r="BF72" s="40">
        <f t="shared" si="411"/>
        <v>24707550</v>
      </c>
      <c r="BG72" s="40">
        <f t="shared" si="411"/>
        <v>26991030</v>
      </c>
      <c r="BH72" s="40">
        <f t="shared" si="411"/>
        <v>29489880</v>
      </c>
      <c r="BI72" s="40">
        <f t="shared" si="411"/>
        <v>32224410</v>
      </c>
      <c r="BJ72" s="40">
        <f t="shared" ref="BJ72:BN72" si="412">BJ70*12</f>
        <v>35217810</v>
      </c>
      <c r="BK72" s="40">
        <f t="shared" si="412"/>
        <v>38494350</v>
      </c>
      <c r="BL72" s="40">
        <f t="shared" si="412"/>
        <v>42080820</v>
      </c>
      <c r="BM72" s="40">
        <f t="shared" si="412"/>
        <v>46007190</v>
      </c>
      <c r="BN72" s="40">
        <f t="shared" si="412"/>
        <v>50306640</v>
      </c>
    </row>
    <row r="74" spans="1:66" x14ac:dyDescent="0.3">
      <c r="C74" t="str">
        <f>C70</f>
        <v>MRR</v>
      </c>
      <c r="G74" s="37">
        <f>G70</f>
        <v>4212.5</v>
      </c>
      <c r="H74" s="37">
        <f t="shared" ref="H74:AD74" si="413">H70</f>
        <v>8385</v>
      </c>
      <c r="I74" s="37">
        <f t="shared" si="413"/>
        <v>12607.5</v>
      </c>
      <c r="J74" s="37">
        <f t="shared" si="413"/>
        <v>16880</v>
      </c>
      <c r="K74" s="37">
        <f t="shared" si="413"/>
        <v>21290</v>
      </c>
      <c r="L74" s="37">
        <f t="shared" si="413"/>
        <v>25867.5</v>
      </c>
      <c r="M74" s="37">
        <f t="shared" si="413"/>
        <v>30672.5</v>
      </c>
      <c r="N74" s="37">
        <f t="shared" si="413"/>
        <v>35732.5</v>
      </c>
      <c r="O74" s="37">
        <f t="shared" si="413"/>
        <v>41107.5</v>
      </c>
      <c r="P74" s="37">
        <f t="shared" si="413"/>
        <v>46825</v>
      </c>
      <c r="Q74" s="37">
        <f t="shared" si="413"/>
        <v>52915</v>
      </c>
      <c r="R74" s="37">
        <f t="shared" si="413"/>
        <v>59435</v>
      </c>
      <c r="S74" s="37">
        <f t="shared" si="413"/>
        <v>65952.5</v>
      </c>
      <c r="T74" s="37">
        <f t="shared" si="413"/>
        <v>72962.5</v>
      </c>
      <c r="U74" s="37">
        <f t="shared" si="413"/>
        <v>80522.5</v>
      </c>
      <c r="V74" s="37">
        <f t="shared" si="413"/>
        <v>88720</v>
      </c>
      <c r="W74" s="37">
        <f t="shared" si="413"/>
        <v>97585</v>
      </c>
      <c r="X74" s="37">
        <f t="shared" si="413"/>
        <v>107177.5</v>
      </c>
      <c r="Y74" s="37">
        <f t="shared" si="413"/>
        <v>117585</v>
      </c>
      <c r="Z74" s="37">
        <f t="shared" si="413"/>
        <v>128895</v>
      </c>
      <c r="AA74" s="37">
        <f t="shared" si="413"/>
        <v>141165</v>
      </c>
      <c r="AB74" s="37">
        <f t="shared" si="413"/>
        <v>154542.5</v>
      </c>
      <c r="AC74" s="37">
        <f t="shared" si="413"/>
        <v>169087.5</v>
      </c>
      <c r="AD74" s="37">
        <f t="shared" si="413"/>
        <v>184857.5</v>
      </c>
      <c r="AE74" s="37">
        <f t="shared" ref="AE74:BC74" si="414">AE70</f>
        <v>201067.5</v>
      </c>
      <c r="AF74" s="37">
        <f t="shared" si="414"/>
        <v>218712.5</v>
      </c>
      <c r="AG74" s="37">
        <f t="shared" si="414"/>
        <v>237940</v>
      </c>
      <c r="AH74" s="37">
        <f t="shared" si="414"/>
        <v>258927.5</v>
      </c>
      <c r="AI74" s="37">
        <f t="shared" si="414"/>
        <v>281762.5</v>
      </c>
      <c r="AJ74" s="37">
        <f t="shared" si="414"/>
        <v>306680</v>
      </c>
      <c r="AK74" s="37">
        <f t="shared" si="414"/>
        <v>333857.5</v>
      </c>
      <c r="AL74" s="37">
        <f t="shared" si="414"/>
        <v>363475</v>
      </c>
      <c r="AM74" s="37">
        <f t="shared" si="414"/>
        <v>395767.5</v>
      </c>
      <c r="AN74" s="37">
        <f t="shared" si="414"/>
        <v>430970</v>
      </c>
      <c r="AO74" s="37">
        <f t="shared" si="414"/>
        <v>469435</v>
      </c>
      <c r="AP74" s="37">
        <f t="shared" si="414"/>
        <v>511402.5</v>
      </c>
      <c r="AQ74" s="37">
        <f t="shared" si="414"/>
        <v>557170</v>
      </c>
      <c r="AR74" s="37">
        <f t="shared" si="414"/>
        <v>607177.5</v>
      </c>
      <c r="AS74" s="37">
        <f t="shared" si="414"/>
        <v>661810</v>
      </c>
      <c r="AT74" s="37">
        <f t="shared" si="414"/>
        <v>721425</v>
      </c>
      <c r="AU74" s="37">
        <f t="shared" si="414"/>
        <v>786582.5</v>
      </c>
      <c r="AV74" s="37">
        <f t="shared" si="414"/>
        <v>857785</v>
      </c>
      <c r="AW74" s="37">
        <f t="shared" si="414"/>
        <v>935597.5</v>
      </c>
      <c r="AX74" s="37">
        <f t="shared" si="414"/>
        <v>1020670</v>
      </c>
      <c r="AY74" s="37">
        <f t="shared" si="414"/>
        <v>1113655</v>
      </c>
      <c r="AZ74" s="37">
        <f t="shared" si="414"/>
        <v>1215265</v>
      </c>
      <c r="BA74" s="37">
        <f t="shared" si="414"/>
        <v>1326360</v>
      </c>
      <c r="BB74" s="37">
        <f t="shared" si="414"/>
        <v>1447857.5</v>
      </c>
      <c r="BC74" s="37">
        <f t="shared" si="414"/>
        <v>1580737.5</v>
      </c>
      <c r="BD74" s="37">
        <f t="shared" ref="BD74:BI74" si="415">BD70</f>
        <v>1726100</v>
      </c>
      <c r="BE74" s="37">
        <f t="shared" si="415"/>
        <v>1885045</v>
      </c>
      <c r="BF74" s="37">
        <f t="shared" si="415"/>
        <v>2058962.5</v>
      </c>
      <c r="BG74" s="37">
        <f t="shared" si="415"/>
        <v>2249252.5</v>
      </c>
      <c r="BH74" s="37">
        <f t="shared" si="415"/>
        <v>2457490</v>
      </c>
      <c r="BI74" s="37">
        <f t="shared" si="415"/>
        <v>2685367.5</v>
      </c>
      <c r="BJ74" s="37">
        <f t="shared" ref="BJ74:BN74" si="416">BJ70</f>
        <v>2934817.5</v>
      </c>
      <c r="BK74" s="37">
        <f t="shared" si="416"/>
        <v>3207862.5</v>
      </c>
      <c r="BL74" s="37">
        <f t="shared" si="416"/>
        <v>3506735</v>
      </c>
      <c r="BM74" s="37">
        <f t="shared" si="416"/>
        <v>3833932.5</v>
      </c>
      <c r="BN74" s="37">
        <f t="shared" si="416"/>
        <v>4192220</v>
      </c>
    </row>
    <row r="75" spans="1:66" x14ac:dyDescent="0.3">
      <c r="C75" s="24" t="str">
        <f>"(–) " &amp;C64</f>
        <v>(–) Total Bookings</v>
      </c>
      <c r="G75" s="27">
        <f>-G64</f>
        <v>-20850</v>
      </c>
      <c r="H75" s="27">
        <f t="shared" ref="H75:AD75" si="417">-H64</f>
        <v>-24720</v>
      </c>
      <c r="I75" s="27">
        <f t="shared" si="417"/>
        <v>-28530</v>
      </c>
      <c r="J75" s="27">
        <f t="shared" si="417"/>
        <v>-32280</v>
      </c>
      <c r="K75" s="27">
        <f t="shared" si="417"/>
        <v>-36360</v>
      </c>
      <c r="L75" s="27">
        <f t="shared" si="417"/>
        <v>-40470</v>
      </c>
      <c r="M75" s="27">
        <f t="shared" si="417"/>
        <v>-44670</v>
      </c>
      <c r="N75" s="27">
        <f t="shared" si="417"/>
        <v>-49290</v>
      </c>
      <c r="O75" s="27">
        <f t="shared" si="417"/>
        <v>-54060</v>
      </c>
      <c r="P75" s="27">
        <f t="shared" si="417"/>
        <v>-59310</v>
      </c>
      <c r="Q75" s="27">
        <f t="shared" si="417"/>
        <v>-64740</v>
      </c>
      <c r="R75" s="27">
        <f t="shared" si="417"/>
        <v>-70710</v>
      </c>
      <c r="S75" s="27">
        <f t="shared" si="417"/>
        <v>-88860</v>
      </c>
      <c r="T75" s="27">
        <f t="shared" si="417"/>
        <v>-96420</v>
      </c>
      <c r="U75" s="27">
        <f t="shared" si="417"/>
        <v>-104640</v>
      </c>
      <c r="V75" s="27">
        <f t="shared" si="417"/>
        <v>-113580</v>
      </c>
      <c r="W75" s="27">
        <f t="shared" si="417"/>
        <v>-123270</v>
      </c>
      <c r="X75" s="27">
        <f t="shared" si="417"/>
        <v>-133440</v>
      </c>
      <c r="Y75" s="27">
        <f t="shared" si="417"/>
        <v>-144480</v>
      </c>
      <c r="Z75" s="27">
        <f t="shared" si="417"/>
        <v>-156780</v>
      </c>
      <c r="AA75" s="27">
        <f t="shared" si="417"/>
        <v>-170040</v>
      </c>
      <c r="AB75" s="27">
        <f t="shared" si="417"/>
        <v>-184710</v>
      </c>
      <c r="AC75" s="27">
        <f t="shared" si="417"/>
        <v>-200190</v>
      </c>
      <c r="AD75" s="27">
        <f t="shared" si="417"/>
        <v>-217170</v>
      </c>
      <c r="AE75" s="27">
        <f t="shared" ref="AE75:BC75" si="418">-AE64</f>
        <v>-235800</v>
      </c>
      <c r="AF75" s="27">
        <f t="shared" si="418"/>
        <v>-255810</v>
      </c>
      <c r="AG75" s="27">
        <f t="shared" si="418"/>
        <v>-277650</v>
      </c>
      <c r="AH75" s="27">
        <f t="shared" si="418"/>
        <v>-301470</v>
      </c>
      <c r="AI75" s="27">
        <f t="shared" si="418"/>
        <v>-327330</v>
      </c>
      <c r="AJ75" s="27">
        <f t="shared" si="418"/>
        <v>-355410</v>
      </c>
      <c r="AK75" s="27">
        <f t="shared" si="418"/>
        <v>-385860</v>
      </c>
      <c r="AL75" s="27">
        <f t="shared" si="418"/>
        <v>-418860</v>
      </c>
      <c r="AM75" s="27">
        <f t="shared" si="418"/>
        <v>-454920</v>
      </c>
      <c r="AN75" s="27">
        <f t="shared" si="418"/>
        <v>-494550</v>
      </c>
      <c r="AO75" s="27">
        <f t="shared" si="418"/>
        <v>-537690</v>
      </c>
      <c r="AP75" s="27">
        <f t="shared" si="418"/>
        <v>-584250</v>
      </c>
      <c r="AQ75" s="27">
        <f t="shared" si="418"/>
        <v>-634830</v>
      </c>
      <c r="AR75" s="27">
        <f t="shared" si="418"/>
        <v>-690420</v>
      </c>
      <c r="AS75" s="27">
        <f t="shared" si="418"/>
        <v>-751020</v>
      </c>
      <c r="AT75" s="27">
        <f t="shared" si="418"/>
        <v>-816630</v>
      </c>
      <c r="AU75" s="27">
        <f t="shared" si="418"/>
        <v>-888690</v>
      </c>
      <c r="AV75" s="27">
        <f t="shared" si="418"/>
        <v>-967290</v>
      </c>
      <c r="AW75" s="27">
        <f t="shared" si="418"/>
        <v>-1052610</v>
      </c>
      <c r="AX75" s="27">
        <f t="shared" si="418"/>
        <v>-1145850</v>
      </c>
      <c r="AY75" s="27">
        <f t="shared" si="418"/>
        <v>-1247580</v>
      </c>
      <c r="AZ75" s="27">
        <f t="shared" si="418"/>
        <v>-1358760</v>
      </c>
      <c r="BA75" s="27">
        <f t="shared" si="418"/>
        <v>-1480140</v>
      </c>
      <c r="BB75" s="27">
        <f t="shared" si="418"/>
        <v>-1612500</v>
      </c>
      <c r="BC75" s="27">
        <f t="shared" si="418"/>
        <v>-1756710</v>
      </c>
      <c r="BD75" s="27">
        <f t="shared" ref="BD75:BI75" si="419">-BD64</f>
        <v>-1914420</v>
      </c>
      <c r="BE75" s="27">
        <f t="shared" si="419"/>
        <v>-2086290</v>
      </c>
      <c r="BF75" s="27">
        <f t="shared" si="419"/>
        <v>-2274480</v>
      </c>
      <c r="BG75" s="27">
        <f t="shared" si="419"/>
        <v>-2479950</v>
      </c>
      <c r="BH75" s="27">
        <f t="shared" si="419"/>
        <v>-2704440</v>
      </c>
      <c r="BI75" s="27">
        <f t="shared" si="419"/>
        <v>-2949450</v>
      </c>
      <c r="BJ75" s="27">
        <f t="shared" ref="BJ75:BN75" si="420">-BJ64</f>
        <v>-3217380</v>
      </c>
      <c r="BK75" s="27">
        <f t="shared" si="420"/>
        <v>-3510060</v>
      </c>
      <c r="BL75" s="27">
        <f t="shared" si="420"/>
        <v>-3829860</v>
      </c>
      <c r="BM75" s="27">
        <f t="shared" si="420"/>
        <v>-4179690</v>
      </c>
      <c r="BN75" s="27">
        <f t="shared" si="420"/>
        <v>-4562370</v>
      </c>
    </row>
    <row r="76" spans="1:66" x14ac:dyDescent="0.3">
      <c r="C76" s="31" t="s">
        <v>48</v>
      </c>
      <c r="D76" s="32"/>
      <c r="E76" s="32"/>
      <c r="F76" s="32"/>
      <c r="G76" s="39">
        <f>SUM(G74:G75)</f>
        <v>-16637.5</v>
      </c>
      <c r="H76" s="39">
        <f t="shared" ref="H76:AD76" si="421">SUM(H74:H75)</f>
        <v>-16335</v>
      </c>
      <c r="I76" s="39">
        <f t="shared" si="421"/>
        <v>-15922.5</v>
      </c>
      <c r="J76" s="39">
        <f t="shared" si="421"/>
        <v>-15400</v>
      </c>
      <c r="K76" s="39">
        <f t="shared" si="421"/>
        <v>-15070</v>
      </c>
      <c r="L76" s="39">
        <f t="shared" si="421"/>
        <v>-14602.5</v>
      </c>
      <c r="M76" s="39">
        <f t="shared" si="421"/>
        <v>-13997.5</v>
      </c>
      <c r="N76" s="39">
        <f t="shared" si="421"/>
        <v>-13557.5</v>
      </c>
      <c r="O76" s="39">
        <f t="shared" si="421"/>
        <v>-12952.5</v>
      </c>
      <c r="P76" s="39">
        <f t="shared" si="421"/>
        <v>-12485</v>
      </c>
      <c r="Q76" s="39">
        <f t="shared" si="421"/>
        <v>-11825</v>
      </c>
      <c r="R76" s="39">
        <f t="shared" si="421"/>
        <v>-11275</v>
      </c>
      <c r="S76" s="39">
        <f t="shared" si="421"/>
        <v>-22907.5</v>
      </c>
      <c r="T76" s="39">
        <f t="shared" si="421"/>
        <v>-23457.5</v>
      </c>
      <c r="U76" s="39">
        <f t="shared" si="421"/>
        <v>-24117.5</v>
      </c>
      <c r="V76" s="39">
        <f t="shared" si="421"/>
        <v>-24860</v>
      </c>
      <c r="W76" s="39">
        <f t="shared" si="421"/>
        <v>-25685</v>
      </c>
      <c r="X76" s="39">
        <f t="shared" si="421"/>
        <v>-26262.5</v>
      </c>
      <c r="Y76" s="39">
        <f t="shared" si="421"/>
        <v>-26895</v>
      </c>
      <c r="Z76" s="39">
        <f t="shared" si="421"/>
        <v>-27885</v>
      </c>
      <c r="AA76" s="39">
        <f t="shared" si="421"/>
        <v>-28875</v>
      </c>
      <c r="AB76" s="39">
        <f t="shared" si="421"/>
        <v>-30167.5</v>
      </c>
      <c r="AC76" s="39">
        <f t="shared" si="421"/>
        <v>-31102.5</v>
      </c>
      <c r="AD76" s="39">
        <f t="shared" si="421"/>
        <v>-32312.5</v>
      </c>
      <c r="AE76" s="39">
        <f t="shared" ref="AE76:BC76" si="422">SUM(AE74:AE75)</f>
        <v>-34732.5</v>
      </c>
      <c r="AF76" s="39">
        <f t="shared" si="422"/>
        <v>-37097.5</v>
      </c>
      <c r="AG76" s="39">
        <f t="shared" si="422"/>
        <v>-39710</v>
      </c>
      <c r="AH76" s="39">
        <f t="shared" si="422"/>
        <v>-42542.5</v>
      </c>
      <c r="AI76" s="39">
        <f t="shared" si="422"/>
        <v>-45567.5</v>
      </c>
      <c r="AJ76" s="39">
        <f t="shared" si="422"/>
        <v>-48730</v>
      </c>
      <c r="AK76" s="39">
        <f t="shared" si="422"/>
        <v>-52002.5</v>
      </c>
      <c r="AL76" s="39">
        <f t="shared" si="422"/>
        <v>-55385</v>
      </c>
      <c r="AM76" s="39">
        <f t="shared" si="422"/>
        <v>-59152.5</v>
      </c>
      <c r="AN76" s="39">
        <f t="shared" si="422"/>
        <v>-63580</v>
      </c>
      <c r="AO76" s="39">
        <f t="shared" si="422"/>
        <v>-68255</v>
      </c>
      <c r="AP76" s="39">
        <f t="shared" si="422"/>
        <v>-72847.5</v>
      </c>
      <c r="AQ76" s="39">
        <f t="shared" si="422"/>
        <v>-77660</v>
      </c>
      <c r="AR76" s="39">
        <f t="shared" si="422"/>
        <v>-83242.5</v>
      </c>
      <c r="AS76" s="39">
        <f t="shared" si="422"/>
        <v>-89210</v>
      </c>
      <c r="AT76" s="39">
        <f t="shared" si="422"/>
        <v>-95205</v>
      </c>
      <c r="AU76" s="39">
        <f t="shared" si="422"/>
        <v>-102107.5</v>
      </c>
      <c r="AV76" s="39">
        <f t="shared" si="422"/>
        <v>-109505</v>
      </c>
      <c r="AW76" s="39">
        <f t="shared" si="422"/>
        <v>-117012.5</v>
      </c>
      <c r="AX76" s="39">
        <f t="shared" si="422"/>
        <v>-125180</v>
      </c>
      <c r="AY76" s="39">
        <f t="shared" si="422"/>
        <v>-133925</v>
      </c>
      <c r="AZ76" s="39">
        <f t="shared" si="422"/>
        <v>-143495</v>
      </c>
      <c r="BA76" s="39">
        <f t="shared" si="422"/>
        <v>-153780</v>
      </c>
      <c r="BB76" s="39">
        <f t="shared" si="422"/>
        <v>-164642.5</v>
      </c>
      <c r="BC76" s="39">
        <f t="shared" si="422"/>
        <v>-175972.5</v>
      </c>
      <c r="BD76" s="39">
        <f t="shared" ref="BD76:BI76" si="423">SUM(BD74:BD75)</f>
        <v>-188320</v>
      </c>
      <c r="BE76" s="39">
        <f t="shared" si="423"/>
        <v>-201245</v>
      </c>
      <c r="BF76" s="39">
        <f t="shared" si="423"/>
        <v>-215517.5</v>
      </c>
      <c r="BG76" s="39">
        <f t="shared" si="423"/>
        <v>-230697.5</v>
      </c>
      <c r="BH76" s="39">
        <f t="shared" si="423"/>
        <v>-246950</v>
      </c>
      <c r="BI76" s="39">
        <f t="shared" si="423"/>
        <v>-264082.5</v>
      </c>
      <c r="BJ76" s="39">
        <f t="shared" ref="BJ76:BN76" si="424">SUM(BJ74:BJ75)</f>
        <v>-282562.5</v>
      </c>
      <c r="BK76" s="39">
        <f t="shared" si="424"/>
        <v>-302197.5</v>
      </c>
      <c r="BL76" s="39">
        <f t="shared" si="424"/>
        <v>-323125</v>
      </c>
      <c r="BM76" s="39">
        <f t="shared" si="424"/>
        <v>-345757.5</v>
      </c>
      <c r="BN76" s="39">
        <f t="shared" si="424"/>
        <v>-370150</v>
      </c>
    </row>
    <row r="77" spans="1:66" x14ac:dyDescent="0.3">
      <c r="C77" s="6" t="s">
        <v>167</v>
      </c>
      <c r="G77" s="86">
        <f>G76</f>
        <v>-16637.5</v>
      </c>
      <c r="H77" s="86">
        <f>H76+G77</f>
        <v>-32972.5</v>
      </c>
      <c r="I77" s="86">
        <f t="shared" ref="I77:AD77" si="425">I76+H77</f>
        <v>-48895</v>
      </c>
      <c r="J77" s="86">
        <f t="shared" si="425"/>
        <v>-64295</v>
      </c>
      <c r="K77" s="86">
        <f t="shared" si="425"/>
        <v>-79365</v>
      </c>
      <c r="L77" s="86">
        <f t="shared" si="425"/>
        <v>-93967.5</v>
      </c>
      <c r="M77" s="86">
        <f t="shared" si="425"/>
        <v>-107965</v>
      </c>
      <c r="N77" s="86">
        <f t="shared" si="425"/>
        <v>-121522.5</v>
      </c>
      <c r="O77" s="86">
        <f t="shared" si="425"/>
        <v>-134475</v>
      </c>
      <c r="P77" s="86">
        <f t="shared" si="425"/>
        <v>-146960</v>
      </c>
      <c r="Q77" s="86">
        <f t="shared" si="425"/>
        <v>-158785</v>
      </c>
      <c r="R77" s="86">
        <f t="shared" si="425"/>
        <v>-170060</v>
      </c>
      <c r="S77" s="86">
        <f t="shared" si="425"/>
        <v>-192967.5</v>
      </c>
      <c r="T77" s="86">
        <f t="shared" si="425"/>
        <v>-216425</v>
      </c>
      <c r="U77" s="86">
        <f t="shared" si="425"/>
        <v>-240542.5</v>
      </c>
      <c r="V77" s="86">
        <f t="shared" si="425"/>
        <v>-265402.5</v>
      </c>
      <c r="W77" s="86">
        <f t="shared" si="425"/>
        <v>-291087.5</v>
      </c>
      <c r="X77" s="86">
        <f t="shared" si="425"/>
        <v>-317350</v>
      </c>
      <c r="Y77" s="86">
        <f t="shared" si="425"/>
        <v>-344245</v>
      </c>
      <c r="Z77" s="86">
        <f t="shared" si="425"/>
        <v>-372130</v>
      </c>
      <c r="AA77" s="86">
        <f t="shared" si="425"/>
        <v>-401005</v>
      </c>
      <c r="AB77" s="86">
        <f t="shared" si="425"/>
        <v>-431172.5</v>
      </c>
      <c r="AC77" s="86">
        <f t="shared" si="425"/>
        <v>-462275</v>
      </c>
      <c r="AD77" s="86">
        <f t="shared" si="425"/>
        <v>-494587.5</v>
      </c>
      <c r="AE77" s="86">
        <f t="shared" ref="AE77" si="426">AE76+AD77</f>
        <v>-529320</v>
      </c>
      <c r="AF77" s="86">
        <f t="shared" ref="AF77" si="427">AF76+AE77</f>
        <v>-566417.5</v>
      </c>
      <c r="AG77" s="86">
        <f t="shared" ref="AG77" si="428">AG76+AF77</f>
        <v>-606127.5</v>
      </c>
      <c r="AH77" s="86">
        <f t="shared" ref="AH77" si="429">AH76+AG77</f>
        <v>-648670</v>
      </c>
      <c r="AI77" s="86">
        <f t="shared" ref="AI77" si="430">AI76+AH77</f>
        <v>-694237.5</v>
      </c>
      <c r="AJ77" s="86">
        <f t="shared" ref="AJ77" si="431">AJ76+AI77</f>
        <v>-742967.5</v>
      </c>
      <c r="AK77" s="86">
        <f t="shared" ref="AK77" si="432">AK76+AJ77</f>
        <v>-794970</v>
      </c>
      <c r="AL77" s="86">
        <f t="shared" ref="AL77" si="433">AL76+AK77</f>
        <v>-850355</v>
      </c>
      <c r="AM77" s="86">
        <f t="shared" ref="AM77" si="434">AM76+AL77</f>
        <v>-909507.5</v>
      </c>
      <c r="AN77" s="86">
        <f t="shared" ref="AN77" si="435">AN76+AM77</f>
        <v>-973087.5</v>
      </c>
      <c r="AO77" s="86">
        <f t="shared" ref="AO77" si="436">AO76+AN77</f>
        <v>-1041342.5</v>
      </c>
      <c r="AP77" s="86">
        <f t="shared" ref="AP77" si="437">AP76+AO77</f>
        <v>-1114190</v>
      </c>
      <c r="AQ77" s="86">
        <f t="shared" ref="AQ77" si="438">AQ76+AP77</f>
        <v>-1191850</v>
      </c>
      <c r="AR77" s="86">
        <f t="shared" ref="AR77" si="439">AR76+AQ77</f>
        <v>-1275092.5</v>
      </c>
      <c r="AS77" s="86">
        <f t="shared" ref="AS77" si="440">AS76+AR77</f>
        <v>-1364302.5</v>
      </c>
      <c r="AT77" s="86">
        <f t="shared" ref="AT77" si="441">AT76+AS77</f>
        <v>-1459507.5</v>
      </c>
      <c r="AU77" s="86">
        <f t="shared" ref="AU77" si="442">AU76+AT77</f>
        <v>-1561615</v>
      </c>
      <c r="AV77" s="86">
        <f t="shared" ref="AV77" si="443">AV76+AU77</f>
        <v>-1671120</v>
      </c>
      <c r="AW77" s="86">
        <f t="shared" ref="AW77" si="444">AW76+AV77</f>
        <v>-1788132.5</v>
      </c>
      <c r="AX77" s="86">
        <f t="shared" ref="AX77" si="445">AX76+AW77</f>
        <v>-1913312.5</v>
      </c>
      <c r="AY77" s="86">
        <f t="shared" ref="AY77" si="446">AY76+AX77</f>
        <v>-2047237.5</v>
      </c>
      <c r="AZ77" s="86">
        <f t="shared" ref="AZ77" si="447">AZ76+AY77</f>
        <v>-2190732.5</v>
      </c>
      <c r="BA77" s="86">
        <f t="shared" ref="BA77" si="448">BA76+AZ77</f>
        <v>-2344512.5</v>
      </c>
      <c r="BB77" s="86">
        <f t="shared" ref="BB77" si="449">BB76+BA77</f>
        <v>-2509155</v>
      </c>
      <c r="BC77" s="86">
        <f t="shared" ref="BC77" si="450">BC76+BB77</f>
        <v>-2685127.5</v>
      </c>
      <c r="BD77" s="86">
        <f t="shared" ref="BD77" si="451">BD76+BC77</f>
        <v>-2873447.5</v>
      </c>
      <c r="BE77" s="86">
        <f t="shared" ref="BE77" si="452">BE76+BD77</f>
        <v>-3074692.5</v>
      </c>
      <c r="BF77" s="86">
        <f t="shared" ref="BF77" si="453">BF76+BE77</f>
        <v>-3290210</v>
      </c>
      <c r="BG77" s="86">
        <f t="shared" ref="BG77" si="454">BG76+BF77</f>
        <v>-3520907.5</v>
      </c>
      <c r="BH77" s="86">
        <f t="shared" ref="BH77" si="455">BH76+BG77</f>
        <v>-3767857.5</v>
      </c>
      <c r="BI77" s="86">
        <f t="shared" ref="BI77" si="456">BI76+BH77</f>
        <v>-4031940</v>
      </c>
      <c r="BJ77" s="86">
        <f t="shared" ref="BJ77" si="457">BJ76+BI77</f>
        <v>-4314502.5</v>
      </c>
      <c r="BK77" s="86">
        <f t="shared" ref="BK77" si="458">BK76+BJ77</f>
        <v>-4616700</v>
      </c>
      <c r="BL77" s="86">
        <f t="shared" ref="BL77" si="459">BL76+BK77</f>
        <v>-4939825</v>
      </c>
      <c r="BM77" s="86">
        <f t="shared" ref="BM77" si="460">BM76+BL77</f>
        <v>-5285582.5</v>
      </c>
      <c r="BN77" s="86">
        <f t="shared" ref="BN77" si="461">BN76+BM77</f>
        <v>-5655732.5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</vt:lpstr>
      <vt:lpstr>Metrics Dashboard</vt:lpstr>
      <vt:lpstr>Detailed Metrics</vt:lpstr>
      <vt:lpstr>Financials &gt;&gt;&gt;</vt:lpstr>
      <vt:lpstr>Assumptions</vt:lpstr>
      <vt:lpstr>Summary Financials</vt:lpstr>
      <vt:lpstr>Detailed Financials</vt:lpstr>
      <vt:lpstr>Subscribers &amp; Revenue</vt:lpstr>
      <vt:lpstr>Circ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Baly</dc:creator>
  <cp:lastModifiedBy>Khusi Khanra</cp:lastModifiedBy>
  <cp:lastPrinted>2024-12-28T17:05:19Z</cp:lastPrinted>
  <dcterms:created xsi:type="dcterms:W3CDTF">2015-06-05T18:17:20Z</dcterms:created>
  <dcterms:modified xsi:type="dcterms:W3CDTF">2026-09-06T04:04:48Z</dcterms:modified>
</cp:coreProperties>
</file>